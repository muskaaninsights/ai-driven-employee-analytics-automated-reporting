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d592b5e6195efff/Excel/"/>
    </mc:Choice>
  </mc:AlternateContent>
  <xr:revisionPtr revIDLastSave="0" documentId="14_{D90370A0-5538-4F00-B8F1-6F8DFB648021}" xr6:coauthVersionLast="47" xr6:coauthVersionMax="47" xr10:uidLastSave="{00000000-0000-0000-0000-000000000000}"/>
  <bookViews>
    <workbookView xWindow="-108" yWindow="-108" windowWidth="23256" windowHeight="12456" activeTab="2" xr2:uid="{7164D342-B4EF-B341-BAAB-10831BC1D411}"/>
  </bookViews>
  <sheets>
    <sheet name="Contents" sheetId="1" r:id="rId1"/>
    <sheet name="RawData" sheetId="55" r:id="rId2"/>
    <sheet name="RawData_Cleaning" sheetId="58" r:id="rId3"/>
    <sheet name="SalarySlip" sheetId="57" r:id="rId4"/>
  </sheets>
  <externalReferences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1st_instalment">'[1]Project-Data'!$I$6:$I$65</definedName>
    <definedName name="_2nd_instalment">'[1]Project-Data'!$J$6:$J$65</definedName>
    <definedName name="_3rd_instalment">'[1]Project-Data'!$K$6:$K$65</definedName>
    <definedName name="_4th_instalment">'[1]Project-Data'!$L$6:$L$65</definedName>
    <definedName name="AK">'[2]2-WayDataValidation'!$N$3:$BL$45</definedName>
    <definedName name="Anchorage">'[2]2-WayDataValidation'!$E$1:$E$9</definedName>
    <definedName name="AZ">'[2]2-WayDataValidation'!$E$1:$M$1</definedName>
    <definedName name="Barrels">31</definedName>
    <definedName name="BigTaxTable">#REF!</definedName>
    <definedName name="CO">'[2]2-WayDataValidation'!$E$6:$L$6</definedName>
    <definedName name="Dates">OFFSET([3]Dynamic!$A$2,0,0,COUNTA([3]Dynamic!$A$1:$A$65536)-1,1)</definedName>
    <definedName name="ee" hidden="1">{"FirstQ",#N/A,FALSE,"Budget2000";"SecondQ",#N/A,FALSE,"Budget2000";"Summary",#N/A,FALSE,"Budget2000"}</definedName>
    <definedName name="emp_data">RawData_Cleaning!$A$1:$R$21</definedName>
    <definedName name="Finish_date">'[1]Project-Data'!$E$6:$E$65</definedName>
    <definedName name="IA">'[2]2-WayDataValidation'!$E$10:$F$10</definedName>
    <definedName name="IL">'[2]2-WayDataValidation'!$E$4:$K$4</definedName>
    <definedName name="IN">'[2]2-WayDataValidation'!$E$2:$H$2</definedName>
    <definedName name="k" hidden="1">{"FirstQ",#N/A,FALSE,"Budget2000";"SecondQ",#N/A,FALSE,"Budget2000";"Summary",#N/A,FALSE,"Budget2000"}</definedName>
    <definedName name="KS">'[2]2-WayDataValidation'!$E$5:$I$5</definedName>
    <definedName name="MO">'[2]2-WayDataValidation'!$E$7:$H$7</definedName>
    <definedName name="Month">#REF!</definedName>
    <definedName name="MonthList">[4]TwoWayLookup!$D$2:$D$13</definedName>
    <definedName name="NE">'[2]2-WayDataValidation'!$E$11:$F$11</definedName>
    <definedName name="OH">'[2]2-WayDataValidation'!$E$3:$J$3</definedName>
    <definedName name="OK">[5]Sheet3!#REF!</definedName>
    <definedName name="OR">[5]Sheet3!#REF!</definedName>
    <definedName name="PA">'[6]2-WayDataValidation'!#REF!</definedName>
    <definedName name="_xlnm.Print_Area" localSheetId="3">SalarySlip!$A$1:$H$23</definedName>
    <definedName name="Product">#REF!</definedName>
    <definedName name="ProductList">[4]TwoWayLookup!$E$1:$J$1</definedName>
    <definedName name="Project_cost">'[1]Project-Data'!$G$6:$G$65</definedName>
    <definedName name="Project_profit">'[1]Project-Data'!$O$6:$O$65</definedName>
    <definedName name="q" hidden="1">{"FirstQ",#N/A,FALSE,"Budget2000";"SecondQ",#N/A,FALSE,"Budget2000";"Summary",#N/A,FALSE,"Budget2000"}</definedName>
    <definedName name="Quoted_price">'[1]Project-Data'!$H$6:$H$65</definedName>
    <definedName name="RateTable">#REF!</definedName>
    <definedName name="RegionalTax">#REF!</definedName>
    <definedName name="RI">'[6]2-WayDataValidation'!#REF!</definedName>
    <definedName name="rr" hidden="1">{"FirstQ",#N/A,FALSE,"Budget2000";"SecondQ",#N/A,FALSE,"Budget2000"}</definedName>
    <definedName name="rrr" hidden="1">{"AllDetail",#N/A,FALSE,"Research Budget";"1stQuarter",#N/A,FALSE,"Research Budget";"2nd Quarter",#N/A,FALSE,"Research Budget";"Summary",#N/A,FALSE,"Research Budget"}</definedName>
    <definedName name="Sales">OFFSET([3]Dynamic!$B$2,0,0,COUNTA([3]Dynamic!$B$1:$B$65536)-1,1)</definedName>
    <definedName name="SC">'[6]2-WayDataValidation'!#REF!</definedName>
    <definedName name="SD">'[6]2-WayDataValidation'!#REF!</definedName>
    <definedName name="ShippingCost">#REF!</definedName>
    <definedName name="Start_date">'[1]Project-Data'!$D$6:$D$65</definedName>
    <definedName name="StateRegions">#REF!</definedName>
    <definedName name="Table">[4]TwoWayLookup!$E$2:$J$13</definedName>
    <definedName name="TaxDepTable">#REF!</definedName>
    <definedName name="TaxTable">#REF!</definedName>
    <definedName name="TN">'[6]2-WayDataValidation'!#REF!</definedName>
    <definedName name="Total_receipts">'[1]Project-Data'!$M$6:$M$65</definedName>
    <definedName name="TX">'[2]2-WayDataValidation'!$N$41:$AB$41</definedName>
    <definedName name="UT">'[2]2-WayDataValidation'!$E$8:$G$8</definedName>
    <definedName name="VA">'[6]2-WayDataValidation'!#REF!</definedName>
    <definedName name="WA">'[6]2-WayDataValidation'!#REF!</definedName>
    <definedName name="WI">'[2]2-WayDataValidation'!$E$9:$G$9</definedName>
    <definedName name="wrn.AllData." hidden="1">{"FirstQ",#N/A,FALSE,"Budget2000";"SecondQ",#N/A,FALSE,"Budget2000";"Summary",#N/A,FALSE,"Budget2000"}</definedName>
    <definedName name="wrn.FirstHalf." hidden="1">{"FirstQ",#N/A,FALSE,"Budget2000";"SecondQ",#N/A,FALSE,"Budget2000"}</definedName>
    <definedName name="x" hidden="1">{"FirstQ",#N/A,FALSE,"Budget2000";"SecondQ",#N/A,FALSE,"Budget2000";"Summary",#N/A,FALSE,"Budget2000"}</definedName>
    <definedName name="xxxxxxxxxxxxxxxxxxx" hidden="1">{"AllDetail",#N/A,FALSE,"Research Budget";"1stQuarter",#N/A,FALSE,"Research Budget";"2nd Quarter",#N/A,FALSE,"Research Budget";"Summary",#N/A,FALSE,"Research Budget"}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58" l="1" a="1"/>
  <c r="A22" i="58" s="1"/>
  <c r="A2" i="58" a="1"/>
  <c r="A2" i="58" s="1"/>
  <c r="R4" i="58"/>
  <c r="R5" i="58"/>
  <c r="R6" i="58"/>
  <c r="R7" i="58"/>
  <c r="R8" i="58"/>
  <c r="R9" i="58"/>
  <c r="R10" i="58"/>
  <c r="R11" i="58"/>
  <c r="R12" i="58"/>
  <c r="R13" i="58"/>
  <c r="R14" i="58"/>
  <c r="R15" i="58"/>
  <c r="R16" i="58"/>
  <c r="R17" i="58"/>
  <c r="R18" i="58"/>
  <c r="R19" i="58"/>
  <c r="R20" i="58"/>
  <c r="R21" i="58"/>
  <c r="R3" i="58"/>
  <c r="R2" i="58"/>
  <c r="D16" i="57" l="1"/>
  <c r="D13" i="57"/>
  <c r="D15" i="57"/>
  <c r="D12" i="57"/>
  <c r="G8" i="57"/>
  <c r="G7" i="57"/>
  <c r="D8" i="57"/>
  <c r="D7" i="57"/>
  <c r="D17" i="57" l="1"/>
  <c r="G15" i="57"/>
  <c r="G16" i="57" s="1"/>
  <c r="G17" i="5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<sst xmlns="http://schemas.openxmlformats.org/spreadsheetml/2006/main" count="298" uniqueCount="228">
  <si>
    <t>Contents</t>
  </si>
  <si>
    <t>Department</t>
  </si>
  <si>
    <t>Name</t>
  </si>
  <si>
    <t>Tax Rate</t>
  </si>
  <si>
    <t>Gross Pay</t>
  </si>
  <si>
    <t>Names</t>
  </si>
  <si>
    <t>Rank</t>
  </si>
  <si>
    <t>Location</t>
  </si>
  <si>
    <t>Common Functions</t>
  </si>
  <si>
    <t>Conversion</t>
  </si>
  <si>
    <t>Text Function</t>
  </si>
  <si>
    <t>Day Functions</t>
  </si>
  <si>
    <t>Lookups</t>
  </si>
  <si>
    <t>Questions</t>
  </si>
  <si>
    <t>Autosum</t>
  </si>
  <si>
    <t>Countif/CountIfs</t>
  </si>
  <si>
    <t>Sumif/Sumifs</t>
  </si>
  <si>
    <t>sumproduct</t>
  </si>
  <si>
    <t>Goalseek</t>
  </si>
  <si>
    <t>Statistics</t>
  </si>
  <si>
    <t>Is-functions</t>
  </si>
  <si>
    <t>Offset</t>
  </si>
  <si>
    <t>Indirect</t>
  </si>
  <si>
    <t>Error Checking</t>
  </si>
  <si>
    <t>Formula text</t>
  </si>
  <si>
    <t>check all formulas</t>
  </si>
  <si>
    <t>evaluate formula</t>
  </si>
  <si>
    <t>Macros</t>
  </si>
  <si>
    <t>Report Using above concepts and Macros</t>
  </si>
  <si>
    <t>OCR/Data Entry With AI</t>
  </si>
  <si>
    <t>Formula using copilot</t>
  </si>
  <si>
    <t>Evaluate using claude/Data Analysis</t>
  </si>
  <si>
    <t>DB Squirrel</t>
  </si>
  <si>
    <t>Analyze Data</t>
  </si>
  <si>
    <t>Further Advanced Topics</t>
  </si>
  <si>
    <t>Scenario Manager</t>
  </si>
  <si>
    <t>Data Tables</t>
  </si>
  <si>
    <t>Solver</t>
  </si>
  <si>
    <t>Perplexity - Research for Interviews</t>
  </si>
  <si>
    <t>Let</t>
  </si>
  <si>
    <t>Lambda</t>
  </si>
  <si>
    <t>VBA in excel</t>
  </si>
  <si>
    <t>Other topics:</t>
  </si>
  <si>
    <t>Conditional formatting</t>
  </si>
  <si>
    <t>Tables and Structured References</t>
  </si>
  <si>
    <t>Name Manager</t>
  </si>
  <si>
    <t>Forms</t>
  </si>
  <si>
    <t>Excel Championship</t>
  </si>
  <si>
    <t>Excel using Copilot/Gemini and other AI tools</t>
  </si>
  <si>
    <t>Practicing using AI</t>
  </si>
  <si>
    <t>Generate data using AI to practice Excel</t>
  </si>
  <si>
    <t>Charts</t>
  </si>
  <si>
    <t>Text-to-Columns</t>
  </si>
  <si>
    <t>MultiWindows</t>
  </si>
  <si>
    <t>Freeze Panes</t>
  </si>
  <si>
    <t>Welcome to Excel using AI with Aman Saurav</t>
  </si>
  <si>
    <t>This content list gives you an idea of what all we will be covering. The list is not exhaustive and more practice sheets will be continuously added to this sheet.</t>
  </si>
  <si>
    <t>All the best!</t>
  </si>
  <si>
    <t>About Me!</t>
  </si>
  <si>
    <t>I have been teaching for over a decade and have helped over 80k learners!</t>
  </si>
  <si>
    <t>Hey I am Aman, an IIT Delhi Alumni</t>
  </si>
  <si>
    <t>Glad to see you joining me!</t>
  </si>
  <si>
    <t>Link to Drive</t>
  </si>
  <si>
    <t>https://drive.google.com/drive/folders/1UhQbk2uT-12okzePNu8LZ2zxbEtcuITk?usp=sharing</t>
  </si>
  <si>
    <t>Short Urls</t>
  </si>
  <si>
    <t>https://tinyurl.com/amanaiexcel</t>
  </si>
  <si>
    <t>Linkedin</t>
  </si>
  <si>
    <t>https://www.linkedin.com/in/amansaurav/</t>
  </si>
  <si>
    <t>Employee Payslip</t>
  </si>
  <si>
    <t>Employee ID</t>
  </si>
  <si>
    <t>Basic Salary</t>
  </si>
  <si>
    <t>HRA (20%)</t>
  </si>
  <si>
    <t>Overtime</t>
  </si>
  <si>
    <t>Tax (if Gross&gt;60000)</t>
  </si>
  <si>
    <t>Net Pay</t>
  </si>
  <si>
    <t>DOJ</t>
  </si>
  <si>
    <t>ABC Corporation</t>
  </si>
  <si>
    <t>This is a computer generated document and doesn't require any signature</t>
  </si>
  <si>
    <t>Salary Details</t>
  </si>
  <si>
    <t>Duplicates</t>
  </si>
  <si>
    <t>Job Title</t>
  </si>
  <si>
    <t>Overtime Hrs.</t>
  </si>
  <si>
    <t>Overtime Rate.</t>
  </si>
  <si>
    <t>Overtime Total</t>
  </si>
  <si>
    <t>1. Total headcount by Department and Location</t>
  </si>
  <si>
    <t>2. Average BasicSalary by JobTitle and EmploymentType</t>
  </si>
  <si>
    <t>3. Total Overtime payout by Department (top 3 depts)</t>
  </si>
  <si>
    <t>4. Average LeaveDays by PerformanceRating bands (Poor/Fair/Good)</t>
  </si>
  <si>
    <t>5. GrossPay trend by PayrollMonth</t>
  </si>
  <si>
    <t>6. Top 10 highest paid employees (BasicSalary)</t>
  </si>
  <si>
    <t>7. % of Contract vs Full Time employees by Department</t>
  </si>
  <si>
    <t>To Clean Up</t>
  </si>
  <si>
    <t>8. Departments with average salary &gt; ₹50000</t>
  </si>
  <si>
    <t>EmployeeID,FirstName,MiddleName,LastName,Department,Location,JobTitle,JoinDate,EmploymentType,BasicSalary,HRA,OvertimeHours,OvertimeRate,LeaveDays,PerformanceRating,PayrollMonth</t>
  </si>
  <si>
    <t>EMP001,rahul,Kumar,SHARMA,Sales ,Delhi,Manager,43905,Full Time,45000,9000,5,250,2,4.2,45658</t>
  </si>
  <si>
    <t>EMP002,ANITA,,Gupta,HR,Mumbai,Sr.Developer,44328,Full Time,52000,,12.5,300,1.5,3.8,45658</t>
  </si>
  <si>
    <t>EMP003,priya,Devi,Singh,Finance ,Bangalore,Analyst,43687,Contract,38000,7600,0,200,8.7,4.5,45658</t>
  </si>
  <si>
    <t>EMP004,SUNIL,Ram,Patel,MARKETING,Delhi,Manager,44562,Full Time,65000,13000,8,280,0.5,3.2,45658</t>
  </si>
  <si>
    <t>EMP005,Neha,,Reddy,HR  ,Chennai,Developer,,Full Time,42000,8400,3.2,220,4,4.1,45658</t>
  </si>
  <si>
    <t>EMP006,RAJESH,Kumar,Sharma,Accnts,Pune,Accountant,43306,Full Time,48000,9600,0,250,6.2,3.9,45658</t>
  </si>
  <si>
    <t>EMP007,Deepa,Prasad,Joshi,Sales,Mumbai,Executive,44147,Contract,32000,6400,15,200,2.8,4,45658</t>
  </si>
  <si>
    <t>EMP008,AMIT,,Verma,Finance,Bangalore,Sr.Accountant,44291,Full Time,55000,,7.5,300,1,4.3,45658</t>
  </si>
  <si>
    <t>EMP009,Sarika,Mohan,Das,HR,Delhi,HR Executive,43738,Full Time,41000,8200,2,220,9.1,3.5,45658</t>
  </si>
  <si>
    <t>EMP010,Vikram,Singh,Rao,MARKETING,Chennai,Manager,44975,Contract,58000,11600,10.5,280,3,4.7,45658</t>
  </si>
  <si>
    <t>EMP011,POOJA,,Nair,IT,Gurgaon,Developer,44004,Full Time,49000,9800,4.8,260,5.5,4.4,45689</t>
  </si>
  <si>
    <t>EMP012,Kiran,Dev,Bose,Sales,Kolkata,Jr Executive,,Contract,29000,5800,0,180,7.2,3.1,45689</t>
  </si>
  <si>
    <t>EMP013,Rohit,,Malhotra,Finance,Mumbai,Sr.Analyst,43083,Full Time,62000,12400,6,320,1.8,4.6,45689</t>
  </si>
  <si>
    <t>EMP014,Anjali,Suresh,Iyer,HR,Bangalore,Manager,44477,Full Time,68000,,11,350,0.9,4.8,45689</t>
  </si>
  <si>
    <t>EMP015,Manish,Prakash,Thakur,Accnts,Delhi,Accountant,43588,Full Time,44000,8800,2.5,240,4.3,3.7,45689</t>
  </si>
  <si>
    <t>EMP016,Swati,,Chopra,Sales,Pune,Executive,44588,Contract,35000,7000,18.2,210,6.8,4.2,45689</t>
  </si>
  <si>
    <t>EMP017,GAURAV,Kumar,Aggarwal,IT,Chennai,Sr.Developer,44062,Full Time,56000,11200,0,280,3.1,3.9,45689</t>
  </si>
  <si>
    <t>EMP018,Meera,Naidu,Reddy,Finance,Gurgaon,Analyst,44266,Full Time,39000,7800,9.5,230,2.2,4.1,45689</t>
  </si>
  <si>
    <t>EMP019,Sanjay,,Patel,MARKETING,Kolkata,Manager,43429,Contract,60000,12000,4,290,8.9,4.5,45689</t>
  </si>
  <si>
    <t>EMP020,Divya,Rani,Sharma,HR,Mumbai,Executive,44758,Full Time,37000,,1.8,200,5.7,3.6,45717</t>
  </si>
  <si>
    <t>9. Show me total payroll cost by department using a pivot table</t>
  </si>
  <si>
    <t>11. Which 5 employees took the most leave days?</t>
  </si>
  <si>
    <t>12. Create a payslip for EmployeeID EMP015</t>
  </si>
  <si>
    <t>10. Clean the employee names and create full names in a new column</t>
  </si>
  <si>
    <t>Additional Info</t>
  </si>
  <si>
    <t>20 percent</t>
  </si>
  <si>
    <t>Flat</t>
  </si>
  <si>
    <t>EmployeeID</t>
  </si>
  <si>
    <t>FirstName</t>
  </si>
  <si>
    <t>MiddleName</t>
  </si>
  <si>
    <t>LastName</t>
  </si>
  <si>
    <t>JobTitle</t>
  </si>
  <si>
    <t>JoinDate</t>
  </si>
  <si>
    <t>EmploymentType</t>
  </si>
  <si>
    <t>BasicSalary</t>
  </si>
  <si>
    <t>HRA</t>
  </si>
  <si>
    <t>OvertimeHours</t>
  </si>
  <si>
    <t>OvertimeRate</t>
  </si>
  <si>
    <t>LeaveDays</t>
  </si>
  <si>
    <t>PerformanceRating</t>
  </si>
  <si>
    <t>PayrollMonth</t>
  </si>
  <si>
    <t>EMP001</t>
  </si>
  <si>
    <t>rahul</t>
  </si>
  <si>
    <t>Kumar</t>
  </si>
  <si>
    <t>SHARMA</t>
  </si>
  <si>
    <t>Delhi</t>
  </si>
  <si>
    <t>Manager</t>
  </si>
  <si>
    <t>Full Time</t>
  </si>
  <si>
    <t>EMP002</t>
  </si>
  <si>
    <t>ANITA</t>
  </si>
  <si>
    <t>Gupta</t>
  </si>
  <si>
    <t>HR</t>
  </si>
  <si>
    <t>Mumbai</t>
  </si>
  <si>
    <t>Sr.Developer</t>
  </si>
  <si>
    <t>EMP003</t>
  </si>
  <si>
    <t>priya</t>
  </si>
  <si>
    <t>Devi</t>
  </si>
  <si>
    <t>Singh</t>
  </si>
  <si>
    <t>Bangalore</t>
  </si>
  <si>
    <t>Analyst</t>
  </si>
  <si>
    <t>Contract</t>
  </si>
  <si>
    <t>EMP004</t>
  </si>
  <si>
    <t>SUNIL</t>
  </si>
  <si>
    <t>Ram</t>
  </si>
  <si>
    <t>Patel</t>
  </si>
  <si>
    <t>EMP005</t>
  </si>
  <si>
    <t>Neha</t>
  </si>
  <si>
    <t>Reddy</t>
  </si>
  <si>
    <t>Chennai</t>
  </si>
  <si>
    <t>Developer</t>
  </si>
  <si>
    <t>EMP006</t>
  </si>
  <si>
    <t>RAJESH</t>
  </si>
  <si>
    <t>Sharma</t>
  </si>
  <si>
    <t>Pune</t>
  </si>
  <si>
    <t>Accountant</t>
  </si>
  <si>
    <t>EMP007</t>
  </si>
  <si>
    <t>Deepa</t>
  </si>
  <si>
    <t>Prasad</t>
  </si>
  <si>
    <t>Joshi</t>
  </si>
  <si>
    <t>Sales</t>
  </si>
  <si>
    <t>Executive</t>
  </si>
  <si>
    <t>EMP008</t>
  </si>
  <si>
    <t>AMIT</t>
  </si>
  <si>
    <t>Verma</t>
  </si>
  <si>
    <t>Finance</t>
  </si>
  <si>
    <t>Sr.Accountant</t>
  </si>
  <si>
    <t>EMP009</t>
  </si>
  <si>
    <t>Sarika</t>
  </si>
  <si>
    <t>Mohan</t>
  </si>
  <si>
    <t>Das</t>
  </si>
  <si>
    <t>HR Executive</t>
  </si>
  <si>
    <t>EMP010</t>
  </si>
  <si>
    <t>Vikram</t>
  </si>
  <si>
    <t>Rao</t>
  </si>
  <si>
    <t>EMP011</t>
  </si>
  <si>
    <t>POOJA</t>
  </si>
  <si>
    <t>Nair</t>
  </si>
  <si>
    <t>IT</t>
  </si>
  <si>
    <t>Gurgaon</t>
  </si>
  <si>
    <t>EMP012</t>
  </si>
  <si>
    <t>Kiran</t>
  </si>
  <si>
    <t>Dev</t>
  </si>
  <si>
    <t>Bose</t>
  </si>
  <si>
    <t>Kolkata</t>
  </si>
  <si>
    <t>Jr Executive</t>
  </si>
  <si>
    <t>EMP013</t>
  </si>
  <si>
    <t>Rohit</t>
  </si>
  <si>
    <t>Malhotra</t>
  </si>
  <si>
    <t>Sr.Analyst</t>
  </si>
  <si>
    <t>EMP014</t>
  </si>
  <si>
    <t>Anjali</t>
  </si>
  <si>
    <t>Suresh</t>
  </si>
  <si>
    <t>Iyer</t>
  </si>
  <si>
    <t>EMP015</t>
  </si>
  <si>
    <t>Manish</t>
  </si>
  <si>
    <t>Prakash</t>
  </si>
  <si>
    <t>Thakur</t>
  </si>
  <si>
    <t>EMP016</t>
  </si>
  <si>
    <t>Swati</t>
  </si>
  <si>
    <t>Chopra</t>
  </si>
  <si>
    <t>EMP017</t>
  </si>
  <si>
    <t>GAURAV</t>
  </si>
  <si>
    <t>Aggarwal</t>
  </si>
  <si>
    <t>EMP018</t>
  </si>
  <si>
    <t>Meera</t>
  </si>
  <si>
    <t>Naidu</t>
  </si>
  <si>
    <t>EMP019</t>
  </si>
  <si>
    <t>Sanjay</t>
  </si>
  <si>
    <t>EMP020</t>
  </si>
  <si>
    <t>Divya</t>
  </si>
  <si>
    <t>Rani</t>
  </si>
  <si>
    <t>Accounts</t>
  </si>
  <si>
    <t>Marketing</t>
  </si>
  <si>
    <t>SINo.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</si>
</sst>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-&quot;$&quot;* #,##0.00_-;\-&quot;$&quot;* #,##0.00_-;_-&quot;$&quot;* &quot;-&quot;??_-;_-@_-"/>
    <numFmt numFmtId="167" formatCode="_-* #,##0.00_-;\-* #,##0.00_-;_-* &quot;-&quot;??_-;_-@_-"/>
  </numFmts>
  <fonts count="10" x14ac:knownFonts="1">
    <font>
      <sz val="12"/>
      <color theme="1"/>
      <name val="Aptos Narrow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2"/>
      <color theme="1"/>
      <name val="Aptos Narrow"/>
      <scheme val="minor"/>
    </font>
    <font>
      <sz val="16"/>
      <color theme="1"/>
      <name val="Aptos Narrow"/>
      <family val="2"/>
      <scheme val="minor"/>
    </font>
    <font>
      <u/>
      <sz val="28"/>
      <color theme="1"/>
      <name val="Aptos Narrow"/>
      <family val="2"/>
      <scheme val="minor"/>
    </font>
    <font>
      <b/>
      <sz val="16"/>
      <color theme="1"/>
      <name val="Aptos Narrow"/>
      <scheme val="min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" fillId="0" borderId="0"/>
    <xf numFmtId="165" fontId="1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4" fillId="0" borderId="0" xfId="0" applyFont="1"/>
    <xf numFmtId="14" fontId="0" fillId="0" borderId="0" xfId="0" applyNumberFormat="1"/>
    <xf numFmtId="17" fontId="0" fillId="0" borderId="0" xfId="0" applyNumberFormat="1"/>
    <xf numFmtId="0" fontId="5" fillId="0" borderId="0" xfId="0" applyFont="1"/>
    <xf numFmtId="0" fontId="6" fillId="0" borderId="0" xfId="0" applyFont="1"/>
    <xf numFmtId="0" fontId="5" fillId="0" borderId="2" xfId="0" applyFont="1" applyBorder="1"/>
    <xf numFmtId="0" fontId="7" fillId="0" borderId="0" xfId="0" applyFont="1"/>
    <xf numFmtId="14" fontId="5" fillId="0" borderId="0" xfId="0" applyNumberFormat="1" applyFont="1"/>
    <xf numFmtId="0" fontId="8" fillId="2" borderId="3" xfId="0" applyFont="1" applyFill="1" applyBorder="1" applyAlignment="1">
      <alignment horizontal="center" vertical="center"/>
    </xf>
    <xf numFmtId="0" fontId="0" fillId="0" borderId="3" xfId="0" applyBorder="1"/>
    <xf numFmtId="0" fontId="9" fillId="3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17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0">
    <cellStyle name="Comma 2" xfId="2" xr:uid="{14CC1345-F404-FD49-AC82-249DBA9A5896}"/>
    <cellStyle name="Comma 3" xfId="3" xr:uid="{8512B6A6-16E1-BD48-B078-3DEF3EE21CBB}"/>
    <cellStyle name="Comma 4" xfId="9" xr:uid="{481057CE-DB79-ED48-AA4D-C3A77A85502E}"/>
    <cellStyle name="Currency 2" xfId="7" xr:uid="{C85235F4-5E9F-C644-B65D-31ED3B6E1D27}"/>
    <cellStyle name="Currency 3" xfId="8" xr:uid="{B51B03BB-42AE-394F-9057-AAA1B81D3C8D}"/>
    <cellStyle name="Normal" xfId="0" builtinId="0"/>
    <cellStyle name="Normal 2" xfId="1" xr:uid="{8E3B417B-E2E4-9041-9F0E-317677A2C922}"/>
    <cellStyle name="Normal 3" xfId="5" xr:uid="{7F206F1B-A519-6843-945D-BC400D5FF202}"/>
    <cellStyle name="Normal 4" xfId="6" xr:uid="{671D92F8-FF20-6A44-80D7-987192EC3256}"/>
    <cellStyle name="Percent 2" xfId="4" xr:uid="{0DC770FC-4A73-7D49-9C46-6B7BF2559FB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q20084022\Google%20Drive\Excel%20MOOC\002%20Course%202%20-%20Intermediate%20I\03%20Week%203\04%20Assessments\C2%20W3%20Practice%20Challenge%20Solu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nnis\AppData\Roaming\Microsoft\Excel\MultiSheetFile%20Indirect%20Function-at%20end%20of%20Webin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xcelClassFiles\Chartdata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__Raytheon\FormulasFunctions\FunctionsF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Lorman%20Education\Two-way%20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Lorman%20Education\MultiSheetFile%20Indirect%20Function-at%20end%20of%20Webin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Original Instructions"/>
      <sheetName val="Project-Data"/>
      <sheetName val="Named Ranges"/>
    </sheetNames>
    <sheetDataSet>
      <sheetData sheetId="0"/>
      <sheetData sheetId="1"/>
      <sheetData sheetId="2">
        <row r="6">
          <cell r="D6">
            <v>42248</v>
          </cell>
          <cell r="E6">
            <v>42698</v>
          </cell>
          <cell r="G6">
            <v>90000</v>
          </cell>
          <cell r="H6">
            <v>153000</v>
          </cell>
          <cell r="I6">
            <v>22950</v>
          </cell>
          <cell r="J6">
            <v>30600</v>
          </cell>
          <cell r="K6">
            <v>38250</v>
          </cell>
          <cell r="L6">
            <v>45900</v>
          </cell>
          <cell r="M6">
            <v>137700</v>
          </cell>
          <cell r="O6">
            <v>63000</v>
          </cell>
        </row>
        <row r="7">
          <cell r="D7">
            <v>42275</v>
          </cell>
          <cell r="E7">
            <v>42464</v>
          </cell>
          <cell r="G7">
            <v>37800</v>
          </cell>
          <cell r="H7">
            <v>64260</v>
          </cell>
          <cell r="I7">
            <v>9639</v>
          </cell>
          <cell r="J7">
            <v>12852</v>
          </cell>
          <cell r="K7">
            <v>16065</v>
          </cell>
          <cell r="L7">
            <v>19278</v>
          </cell>
          <cell r="M7">
            <v>57834</v>
          </cell>
          <cell r="O7">
            <v>26460</v>
          </cell>
        </row>
        <row r="8">
          <cell r="D8">
            <v>42427</v>
          </cell>
          <cell r="E8">
            <v>42823</v>
          </cell>
          <cell r="G8">
            <v>79200</v>
          </cell>
          <cell r="H8">
            <v>134640</v>
          </cell>
          <cell r="I8">
            <v>20196</v>
          </cell>
          <cell r="J8">
            <v>26928</v>
          </cell>
          <cell r="K8">
            <v>33660</v>
          </cell>
          <cell r="L8">
            <v>40392</v>
          </cell>
          <cell r="M8">
            <v>121176</v>
          </cell>
          <cell r="O8">
            <v>55440</v>
          </cell>
        </row>
        <row r="9">
          <cell r="D9">
            <v>42277</v>
          </cell>
          <cell r="E9">
            <v>42461.5</v>
          </cell>
          <cell r="G9">
            <v>36900</v>
          </cell>
          <cell r="H9">
            <v>62730</v>
          </cell>
          <cell r="I9">
            <v>9409.5</v>
          </cell>
          <cell r="J9">
            <v>12546</v>
          </cell>
          <cell r="K9">
            <v>15682.5</v>
          </cell>
          <cell r="L9">
            <v>18819</v>
          </cell>
          <cell r="M9">
            <v>56457</v>
          </cell>
          <cell r="O9">
            <v>25830</v>
          </cell>
        </row>
        <row r="10">
          <cell r="D10">
            <v>42393</v>
          </cell>
          <cell r="E10">
            <v>42708</v>
          </cell>
          <cell r="G10">
            <v>63000</v>
          </cell>
          <cell r="H10">
            <v>107100</v>
          </cell>
          <cell r="I10">
            <v>16065</v>
          </cell>
          <cell r="J10">
            <v>21420</v>
          </cell>
          <cell r="K10">
            <v>26775</v>
          </cell>
          <cell r="L10">
            <v>32130</v>
          </cell>
          <cell r="M10">
            <v>96390</v>
          </cell>
          <cell r="O10">
            <v>44100</v>
          </cell>
        </row>
        <row r="11">
          <cell r="D11">
            <v>42424</v>
          </cell>
          <cell r="E11">
            <v>42563.5</v>
          </cell>
          <cell r="G11">
            <v>27900</v>
          </cell>
          <cell r="H11">
            <v>47430</v>
          </cell>
          <cell r="I11">
            <v>7114.5</v>
          </cell>
          <cell r="J11">
            <v>9486</v>
          </cell>
          <cell r="K11">
            <v>11857.5</v>
          </cell>
          <cell r="L11">
            <v>14229</v>
          </cell>
          <cell r="M11">
            <v>42687</v>
          </cell>
          <cell r="O11">
            <v>19530</v>
          </cell>
        </row>
        <row r="12">
          <cell r="D12">
            <v>42392</v>
          </cell>
          <cell r="E12">
            <v>42486.5</v>
          </cell>
          <cell r="G12">
            <v>18900</v>
          </cell>
          <cell r="H12">
            <v>32130</v>
          </cell>
          <cell r="I12">
            <v>4819.5</v>
          </cell>
          <cell r="J12">
            <v>6426</v>
          </cell>
          <cell r="K12">
            <v>8032.5</v>
          </cell>
          <cell r="L12">
            <v>9639</v>
          </cell>
          <cell r="M12">
            <v>28917</v>
          </cell>
          <cell r="O12">
            <v>13230</v>
          </cell>
        </row>
        <row r="13">
          <cell r="D13">
            <v>42430</v>
          </cell>
          <cell r="E13">
            <v>42668.5</v>
          </cell>
          <cell r="G13">
            <v>47700</v>
          </cell>
          <cell r="H13">
            <v>81090</v>
          </cell>
          <cell r="I13">
            <v>12163.5</v>
          </cell>
          <cell r="J13">
            <v>16218</v>
          </cell>
          <cell r="K13">
            <v>20272.5</v>
          </cell>
          <cell r="L13">
            <v>24327</v>
          </cell>
          <cell r="M13">
            <v>72981</v>
          </cell>
          <cell r="O13">
            <v>33390</v>
          </cell>
        </row>
        <row r="14">
          <cell r="D14">
            <v>42290</v>
          </cell>
          <cell r="E14">
            <v>42605</v>
          </cell>
          <cell r="G14">
            <v>63000</v>
          </cell>
          <cell r="H14">
            <v>107100</v>
          </cell>
          <cell r="I14">
            <v>16065</v>
          </cell>
          <cell r="J14">
            <v>21420</v>
          </cell>
          <cell r="K14">
            <v>26775</v>
          </cell>
          <cell r="L14">
            <v>32130</v>
          </cell>
          <cell r="M14">
            <v>96390</v>
          </cell>
          <cell r="O14">
            <v>44100</v>
          </cell>
        </row>
        <row r="15">
          <cell r="D15">
            <v>42384</v>
          </cell>
          <cell r="E15">
            <v>42478.5</v>
          </cell>
          <cell r="G15">
            <v>18900</v>
          </cell>
          <cell r="H15">
            <v>32130</v>
          </cell>
          <cell r="I15">
            <v>4819.5</v>
          </cell>
          <cell r="J15">
            <v>6426</v>
          </cell>
          <cell r="K15">
            <v>8032.5</v>
          </cell>
          <cell r="L15">
            <v>9639</v>
          </cell>
          <cell r="M15">
            <v>28917</v>
          </cell>
          <cell r="O15">
            <v>13230</v>
          </cell>
        </row>
        <row r="16">
          <cell r="D16">
            <v>42358</v>
          </cell>
          <cell r="E16">
            <v>42398.5</v>
          </cell>
          <cell r="G16">
            <v>8100</v>
          </cell>
          <cell r="H16">
            <v>13770</v>
          </cell>
          <cell r="I16">
            <v>2065.5</v>
          </cell>
          <cell r="J16">
            <v>2754</v>
          </cell>
          <cell r="K16">
            <v>3442.5</v>
          </cell>
          <cell r="L16">
            <v>4131</v>
          </cell>
          <cell r="M16">
            <v>12393</v>
          </cell>
          <cell r="O16">
            <v>5670</v>
          </cell>
        </row>
        <row r="17">
          <cell r="D17">
            <v>42269</v>
          </cell>
          <cell r="E17">
            <v>42341</v>
          </cell>
          <cell r="G17">
            <v>14400</v>
          </cell>
          <cell r="H17">
            <v>24480</v>
          </cell>
          <cell r="I17">
            <v>3672</v>
          </cell>
          <cell r="J17">
            <v>4896</v>
          </cell>
          <cell r="K17">
            <v>6120</v>
          </cell>
          <cell r="L17">
            <v>7344</v>
          </cell>
          <cell r="M17">
            <v>22032</v>
          </cell>
          <cell r="O17">
            <v>10080</v>
          </cell>
        </row>
        <row r="18">
          <cell r="D18">
            <v>42325</v>
          </cell>
          <cell r="E18">
            <v>42662.5</v>
          </cell>
          <cell r="G18">
            <v>67500</v>
          </cell>
          <cell r="H18">
            <v>114750</v>
          </cell>
          <cell r="I18">
            <v>17212.5</v>
          </cell>
          <cell r="J18">
            <v>22950</v>
          </cell>
          <cell r="K18">
            <v>28687.5</v>
          </cell>
          <cell r="L18">
            <v>34425</v>
          </cell>
          <cell r="M18">
            <v>103275</v>
          </cell>
          <cell r="O18">
            <v>47250</v>
          </cell>
        </row>
        <row r="19">
          <cell r="D19">
            <v>42385</v>
          </cell>
          <cell r="E19">
            <v>42425.5</v>
          </cell>
          <cell r="G19">
            <v>8100</v>
          </cell>
          <cell r="H19">
            <v>13770</v>
          </cell>
          <cell r="I19">
            <v>2065.5</v>
          </cell>
          <cell r="J19">
            <v>2754</v>
          </cell>
          <cell r="K19">
            <v>3442.5</v>
          </cell>
          <cell r="L19">
            <v>4131</v>
          </cell>
          <cell r="M19">
            <v>12393</v>
          </cell>
          <cell r="O19">
            <v>5670</v>
          </cell>
        </row>
        <row r="20">
          <cell r="D20">
            <v>42391</v>
          </cell>
          <cell r="E20">
            <v>42422.5</v>
          </cell>
          <cell r="G20">
            <v>6300</v>
          </cell>
          <cell r="H20">
            <v>10710</v>
          </cell>
          <cell r="I20">
            <v>1606.5</v>
          </cell>
          <cell r="J20">
            <v>2142</v>
          </cell>
          <cell r="K20">
            <v>2677.5</v>
          </cell>
          <cell r="L20">
            <v>3213</v>
          </cell>
          <cell r="M20">
            <v>9639</v>
          </cell>
          <cell r="O20">
            <v>4410</v>
          </cell>
        </row>
        <row r="21">
          <cell r="D21">
            <v>42395</v>
          </cell>
          <cell r="E21">
            <v>42534.5</v>
          </cell>
          <cell r="G21">
            <v>27900</v>
          </cell>
          <cell r="H21">
            <v>47430</v>
          </cell>
          <cell r="I21">
            <v>7114.5</v>
          </cell>
          <cell r="J21">
            <v>9486</v>
          </cell>
          <cell r="K21">
            <v>11857.5</v>
          </cell>
          <cell r="L21">
            <v>14229</v>
          </cell>
          <cell r="M21">
            <v>42687</v>
          </cell>
          <cell r="O21">
            <v>19530</v>
          </cell>
        </row>
        <row r="22">
          <cell r="D22">
            <v>42258</v>
          </cell>
          <cell r="E22">
            <v>42721.5</v>
          </cell>
          <cell r="G22">
            <v>92700</v>
          </cell>
          <cell r="H22">
            <v>157590</v>
          </cell>
          <cell r="I22">
            <v>23638.5</v>
          </cell>
          <cell r="J22">
            <v>31518</v>
          </cell>
          <cell r="K22">
            <v>39397.5</v>
          </cell>
          <cell r="L22">
            <v>47277</v>
          </cell>
          <cell r="M22">
            <v>141831</v>
          </cell>
          <cell r="O22">
            <v>64890</v>
          </cell>
        </row>
        <row r="23">
          <cell r="D23">
            <v>42415</v>
          </cell>
          <cell r="E23">
            <v>42446.5</v>
          </cell>
          <cell r="G23">
            <v>6300</v>
          </cell>
          <cell r="H23">
            <v>10710</v>
          </cell>
          <cell r="I23">
            <v>1606.5</v>
          </cell>
          <cell r="J23">
            <v>2142</v>
          </cell>
          <cell r="K23">
            <v>2677.5</v>
          </cell>
          <cell r="L23">
            <v>3213</v>
          </cell>
          <cell r="M23">
            <v>9639</v>
          </cell>
          <cell r="O23">
            <v>4410</v>
          </cell>
        </row>
        <row r="24">
          <cell r="D24">
            <v>42389</v>
          </cell>
          <cell r="E24">
            <v>42852.5</v>
          </cell>
          <cell r="G24">
            <v>92700</v>
          </cell>
          <cell r="H24">
            <v>157590</v>
          </cell>
          <cell r="I24">
            <v>23638.5</v>
          </cell>
          <cell r="J24">
            <v>31518</v>
          </cell>
          <cell r="K24">
            <v>39397.5</v>
          </cell>
          <cell r="L24">
            <v>47277</v>
          </cell>
          <cell r="M24">
            <v>141831</v>
          </cell>
          <cell r="O24">
            <v>64890</v>
          </cell>
        </row>
        <row r="25">
          <cell r="D25">
            <v>42403</v>
          </cell>
          <cell r="E25">
            <v>42641.5</v>
          </cell>
          <cell r="G25">
            <v>47700</v>
          </cell>
          <cell r="H25">
            <v>81090</v>
          </cell>
          <cell r="I25">
            <v>12163.5</v>
          </cell>
          <cell r="J25">
            <v>16218</v>
          </cell>
          <cell r="K25">
            <v>20272.5</v>
          </cell>
          <cell r="L25">
            <v>24327</v>
          </cell>
          <cell r="M25">
            <v>72981</v>
          </cell>
          <cell r="O25">
            <v>33390</v>
          </cell>
        </row>
        <row r="26">
          <cell r="D26">
            <v>42311</v>
          </cell>
          <cell r="E26">
            <v>42383</v>
          </cell>
          <cell r="G26">
            <v>14400</v>
          </cell>
          <cell r="H26">
            <v>24480</v>
          </cell>
          <cell r="I26">
            <v>3672</v>
          </cell>
          <cell r="J26">
            <v>4896</v>
          </cell>
          <cell r="K26">
            <v>6120</v>
          </cell>
          <cell r="L26">
            <v>7344</v>
          </cell>
          <cell r="M26">
            <v>22032</v>
          </cell>
          <cell r="O26">
            <v>10080</v>
          </cell>
        </row>
        <row r="27">
          <cell r="D27">
            <v>42324</v>
          </cell>
          <cell r="E27">
            <v>42396</v>
          </cell>
          <cell r="G27">
            <v>14400</v>
          </cell>
          <cell r="H27">
            <v>24480</v>
          </cell>
          <cell r="I27">
            <v>3672</v>
          </cell>
          <cell r="J27">
            <v>4896</v>
          </cell>
          <cell r="K27">
            <v>6120</v>
          </cell>
          <cell r="L27">
            <v>7344</v>
          </cell>
          <cell r="M27">
            <v>22032</v>
          </cell>
          <cell r="O27">
            <v>10080</v>
          </cell>
        </row>
        <row r="28">
          <cell r="D28">
            <v>42434</v>
          </cell>
          <cell r="E28">
            <v>42672.5</v>
          </cell>
          <cell r="G28">
            <v>47700</v>
          </cell>
          <cell r="H28">
            <v>81090</v>
          </cell>
          <cell r="I28">
            <v>12163.5</v>
          </cell>
          <cell r="J28">
            <v>16218</v>
          </cell>
          <cell r="K28">
            <v>20272.5</v>
          </cell>
          <cell r="L28">
            <v>24327</v>
          </cell>
          <cell r="M28">
            <v>72981</v>
          </cell>
          <cell r="O28">
            <v>33390</v>
          </cell>
        </row>
        <row r="29">
          <cell r="D29">
            <v>42434</v>
          </cell>
          <cell r="E29">
            <v>42830</v>
          </cell>
          <cell r="G29">
            <v>79200</v>
          </cell>
          <cell r="H29">
            <v>134640</v>
          </cell>
          <cell r="I29">
            <v>20196</v>
          </cell>
          <cell r="J29">
            <v>26928</v>
          </cell>
          <cell r="K29">
            <v>33660</v>
          </cell>
          <cell r="L29">
            <v>40392</v>
          </cell>
          <cell r="M29">
            <v>121176</v>
          </cell>
          <cell r="O29">
            <v>55440</v>
          </cell>
        </row>
        <row r="30">
          <cell r="D30">
            <v>42354</v>
          </cell>
          <cell r="E30">
            <v>42399</v>
          </cell>
          <cell r="G30">
            <v>9000</v>
          </cell>
          <cell r="H30">
            <v>15300</v>
          </cell>
          <cell r="I30">
            <v>2295</v>
          </cell>
          <cell r="J30">
            <v>3060</v>
          </cell>
          <cell r="K30">
            <v>3825</v>
          </cell>
          <cell r="L30">
            <v>4590</v>
          </cell>
          <cell r="M30">
            <v>13770</v>
          </cell>
          <cell r="O30">
            <v>6300</v>
          </cell>
        </row>
        <row r="31">
          <cell r="D31">
            <v>42277</v>
          </cell>
          <cell r="E31">
            <v>42614.5</v>
          </cell>
          <cell r="G31">
            <v>67500</v>
          </cell>
          <cell r="H31">
            <v>114750</v>
          </cell>
          <cell r="I31">
            <v>17212.5</v>
          </cell>
          <cell r="J31">
            <v>22950</v>
          </cell>
          <cell r="K31">
            <v>28687.5</v>
          </cell>
          <cell r="L31">
            <v>34425</v>
          </cell>
          <cell r="M31">
            <v>103275</v>
          </cell>
          <cell r="O31">
            <v>47250</v>
          </cell>
        </row>
        <row r="32">
          <cell r="D32">
            <v>42382</v>
          </cell>
          <cell r="E32">
            <v>42814</v>
          </cell>
          <cell r="G32">
            <v>86400</v>
          </cell>
          <cell r="H32">
            <v>146880</v>
          </cell>
          <cell r="I32">
            <v>22032</v>
          </cell>
          <cell r="J32">
            <v>29376</v>
          </cell>
          <cell r="K32">
            <v>36720</v>
          </cell>
          <cell r="L32">
            <v>44064</v>
          </cell>
          <cell r="M32">
            <v>132192</v>
          </cell>
          <cell r="O32">
            <v>60480</v>
          </cell>
        </row>
        <row r="33">
          <cell r="D33">
            <v>42440</v>
          </cell>
          <cell r="E33">
            <v>42903.5</v>
          </cell>
          <cell r="G33">
            <v>92700</v>
          </cell>
          <cell r="H33">
            <v>157590</v>
          </cell>
          <cell r="I33">
            <v>23638.5</v>
          </cell>
          <cell r="J33">
            <v>31518</v>
          </cell>
          <cell r="K33">
            <v>39397.5</v>
          </cell>
          <cell r="L33">
            <v>47277</v>
          </cell>
          <cell r="M33">
            <v>141831</v>
          </cell>
          <cell r="O33">
            <v>64890</v>
          </cell>
        </row>
        <row r="34">
          <cell r="D34">
            <v>42299</v>
          </cell>
          <cell r="E34">
            <v>42438.5</v>
          </cell>
          <cell r="G34">
            <v>27900</v>
          </cell>
          <cell r="H34">
            <v>47430</v>
          </cell>
          <cell r="I34">
            <v>7114.5</v>
          </cell>
          <cell r="J34">
            <v>9486</v>
          </cell>
          <cell r="K34">
            <v>11857.5</v>
          </cell>
          <cell r="L34">
            <v>14229</v>
          </cell>
          <cell r="M34">
            <v>42687</v>
          </cell>
          <cell r="O34">
            <v>19530</v>
          </cell>
        </row>
        <row r="35">
          <cell r="D35">
            <v>42291</v>
          </cell>
          <cell r="E35">
            <v>42336</v>
          </cell>
          <cell r="G35">
            <v>9000</v>
          </cell>
          <cell r="H35">
            <v>15300</v>
          </cell>
          <cell r="I35">
            <v>2295</v>
          </cell>
          <cell r="J35">
            <v>3060</v>
          </cell>
          <cell r="K35">
            <v>3825</v>
          </cell>
          <cell r="L35">
            <v>4590</v>
          </cell>
          <cell r="M35">
            <v>13770</v>
          </cell>
          <cell r="O35">
            <v>6300</v>
          </cell>
        </row>
        <row r="36">
          <cell r="D36">
            <v>42290</v>
          </cell>
          <cell r="E36">
            <v>42479</v>
          </cell>
          <cell r="G36">
            <v>37800</v>
          </cell>
          <cell r="H36">
            <v>64260</v>
          </cell>
          <cell r="I36">
            <v>9639</v>
          </cell>
          <cell r="J36">
            <v>12852</v>
          </cell>
          <cell r="K36">
            <v>16065</v>
          </cell>
          <cell r="L36">
            <v>19278</v>
          </cell>
          <cell r="M36">
            <v>57834</v>
          </cell>
          <cell r="O36">
            <v>26460</v>
          </cell>
        </row>
        <row r="37">
          <cell r="D37">
            <v>42269</v>
          </cell>
          <cell r="E37">
            <v>42408.5</v>
          </cell>
          <cell r="G37">
            <v>27900</v>
          </cell>
          <cell r="H37">
            <v>47430</v>
          </cell>
          <cell r="I37">
            <v>7114.5</v>
          </cell>
          <cell r="J37">
            <v>9486</v>
          </cell>
          <cell r="K37">
            <v>11857.5</v>
          </cell>
          <cell r="L37">
            <v>14229</v>
          </cell>
          <cell r="M37">
            <v>42687</v>
          </cell>
          <cell r="O37">
            <v>19530</v>
          </cell>
        </row>
        <row r="38">
          <cell r="D38">
            <v>42358</v>
          </cell>
          <cell r="E38">
            <v>42547</v>
          </cell>
          <cell r="G38">
            <v>37800</v>
          </cell>
          <cell r="H38">
            <v>64260</v>
          </cell>
          <cell r="I38">
            <v>9639</v>
          </cell>
          <cell r="J38">
            <v>12852</v>
          </cell>
          <cell r="K38">
            <v>16065</v>
          </cell>
          <cell r="L38">
            <v>19278</v>
          </cell>
          <cell r="M38">
            <v>57834</v>
          </cell>
          <cell r="O38">
            <v>26460</v>
          </cell>
        </row>
        <row r="39">
          <cell r="D39">
            <v>42369</v>
          </cell>
          <cell r="E39">
            <v>42801</v>
          </cell>
          <cell r="G39">
            <v>86400</v>
          </cell>
          <cell r="H39">
            <v>146880</v>
          </cell>
          <cell r="I39">
            <v>22032</v>
          </cell>
          <cell r="J39">
            <v>29376</v>
          </cell>
          <cell r="K39">
            <v>36720</v>
          </cell>
          <cell r="L39">
            <v>44064</v>
          </cell>
          <cell r="M39">
            <v>132192</v>
          </cell>
          <cell r="O39">
            <v>60480</v>
          </cell>
        </row>
        <row r="40">
          <cell r="D40">
            <v>42264</v>
          </cell>
          <cell r="E40">
            <v>42295.5</v>
          </cell>
          <cell r="G40">
            <v>6300</v>
          </cell>
          <cell r="H40">
            <v>10710</v>
          </cell>
          <cell r="I40">
            <v>1606.5</v>
          </cell>
          <cell r="J40">
            <v>2142</v>
          </cell>
          <cell r="K40">
            <v>2677.5</v>
          </cell>
          <cell r="L40">
            <v>3213</v>
          </cell>
          <cell r="M40">
            <v>9639</v>
          </cell>
          <cell r="O40">
            <v>4410</v>
          </cell>
        </row>
        <row r="41">
          <cell r="D41">
            <v>42319</v>
          </cell>
          <cell r="E41">
            <v>42715</v>
          </cell>
          <cell r="G41">
            <v>79200</v>
          </cell>
          <cell r="H41">
            <v>134640</v>
          </cell>
          <cell r="I41">
            <v>20196</v>
          </cell>
          <cell r="J41">
            <v>26928</v>
          </cell>
          <cell r="K41">
            <v>33660</v>
          </cell>
          <cell r="L41">
            <v>40392</v>
          </cell>
          <cell r="M41">
            <v>121176</v>
          </cell>
          <cell r="O41">
            <v>55440</v>
          </cell>
        </row>
        <row r="42">
          <cell r="D42">
            <v>42399</v>
          </cell>
          <cell r="E42">
            <v>42439.5</v>
          </cell>
          <cell r="G42">
            <v>8100</v>
          </cell>
          <cell r="H42">
            <v>13770</v>
          </cell>
          <cell r="I42">
            <v>2065.5</v>
          </cell>
          <cell r="J42">
            <v>2754</v>
          </cell>
          <cell r="K42">
            <v>3442.5</v>
          </cell>
          <cell r="L42">
            <v>4131</v>
          </cell>
          <cell r="M42">
            <v>12393</v>
          </cell>
          <cell r="O42">
            <v>5670</v>
          </cell>
        </row>
        <row r="43">
          <cell r="D43">
            <v>42275</v>
          </cell>
          <cell r="E43">
            <v>42315.5</v>
          </cell>
          <cell r="G43">
            <v>8100</v>
          </cell>
          <cell r="H43">
            <v>13770</v>
          </cell>
          <cell r="I43">
            <v>2065.5</v>
          </cell>
          <cell r="J43">
            <v>2754</v>
          </cell>
          <cell r="K43">
            <v>3442.5</v>
          </cell>
          <cell r="L43">
            <v>4131</v>
          </cell>
          <cell r="M43">
            <v>12393</v>
          </cell>
          <cell r="O43">
            <v>5670</v>
          </cell>
        </row>
        <row r="44">
          <cell r="D44">
            <v>42377</v>
          </cell>
          <cell r="E44">
            <v>42651.5</v>
          </cell>
          <cell r="G44">
            <v>54900</v>
          </cell>
          <cell r="H44">
            <v>93330</v>
          </cell>
          <cell r="I44">
            <v>13999.5</v>
          </cell>
          <cell r="J44">
            <v>18666</v>
          </cell>
          <cell r="K44">
            <v>23332.5</v>
          </cell>
          <cell r="L44">
            <v>27999</v>
          </cell>
          <cell r="M44">
            <v>83997</v>
          </cell>
          <cell r="O44">
            <v>38430</v>
          </cell>
        </row>
        <row r="45">
          <cell r="D45">
            <v>42380</v>
          </cell>
          <cell r="E45">
            <v>42411.5</v>
          </cell>
          <cell r="G45">
            <v>6300</v>
          </cell>
          <cell r="H45">
            <v>10710</v>
          </cell>
          <cell r="I45">
            <v>1606.5</v>
          </cell>
          <cell r="J45">
            <v>2142</v>
          </cell>
          <cell r="K45">
            <v>2677.5</v>
          </cell>
          <cell r="L45">
            <v>3213</v>
          </cell>
          <cell r="M45">
            <v>9639</v>
          </cell>
          <cell r="O45">
            <v>4410</v>
          </cell>
        </row>
        <row r="46">
          <cell r="D46">
            <v>42415</v>
          </cell>
          <cell r="E46">
            <v>42730</v>
          </cell>
          <cell r="G46">
            <v>63000</v>
          </cell>
          <cell r="H46">
            <v>107100</v>
          </cell>
          <cell r="I46">
            <v>16065</v>
          </cell>
          <cell r="J46">
            <v>21420</v>
          </cell>
          <cell r="K46">
            <v>26775</v>
          </cell>
          <cell r="L46">
            <v>32130</v>
          </cell>
          <cell r="M46">
            <v>96390</v>
          </cell>
          <cell r="O46">
            <v>44100</v>
          </cell>
        </row>
        <row r="47">
          <cell r="D47">
            <v>42358</v>
          </cell>
          <cell r="E47">
            <v>42398.5</v>
          </cell>
          <cell r="G47">
            <v>8100</v>
          </cell>
          <cell r="H47">
            <v>13770</v>
          </cell>
          <cell r="I47">
            <v>2065.5</v>
          </cell>
          <cell r="J47">
            <v>2754</v>
          </cell>
          <cell r="K47">
            <v>3442.5</v>
          </cell>
          <cell r="L47">
            <v>4131</v>
          </cell>
          <cell r="M47">
            <v>12393</v>
          </cell>
          <cell r="O47">
            <v>5670</v>
          </cell>
        </row>
        <row r="48">
          <cell r="D48">
            <v>42445</v>
          </cell>
          <cell r="E48">
            <v>42782.5</v>
          </cell>
          <cell r="G48">
            <v>67500</v>
          </cell>
          <cell r="H48">
            <v>114750</v>
          </cell>
          <cell r="I48">
            <v>17212.5</v>
          </cell>
          <cell r="J48">
            <v>22950</v>
          </cell>
          <cell r="K48">
            <v>28687.5</v>
          </cell>
          <cell r="L48">
            <v>34425</v>
          </cell>
          <cell r="M48">
            <v>103275</v>
          </cell>
          <cell r="O48">
            <v>47250</v>
          </cell>
        </row>
        <row r="49">
          <cell r="D49">
            <v>42375</v>
          </cell>
          <cell r="E49">
            <v>42564</v>
          </cell>
          <cell r="G49">
            <v>37800</v>
          </cell>
          <cell r="H49">
            <v>64260</v>
          </cell>
          <cell r="I49">
            <v>9639</v>
          </cell>
          <cell r="J49">
            <v>12852</v>
          </cell>
          <cell r="K49">
            <v>16065</v>
          </cell>
          <cell r="L49">
            <v>19278</v>
          </cell>
          <cell r="M49">
            <v>57834</v>
          </cell>
          <cell r="O49">
            <v>26460</v>
          </cell>
        </row>
        <row r="50">
          <cell r="D50">
            <v>42291</v>
          </cell>
          <cell r="E50">
            <v>42606</v>
          </cell>
          <cell r="G50">
            <v>63000</v>
          </cell>
          <cell r="H50">
            <v>107100</v>
          </cell>
          <cell r="I50">
            <v>16065</v>
          </cell>
          <cell r="J50">
            <v>21420</v>
          </cell>
          <cell r="K50">
            <v>26775</v>
          </cell>
          <cell r="L50">
            <v>32130</v>
          </cell>
          <cell r="M50">
            <v>96390</v>
          </cell>
          <cell r="O50">
            <v>44100</v>
          </cell>
        </row>
        <row r="51">
          <cell r="D51">
            <v>42324</v>
          </cell>
          <cell r="E51">
            <v>42598.5</v>
          </cell>
          <cell r="G51">
            <v>54900</v>
          </cell>
          <cell r="H51">
            <v>93330</v>
          </cell>
          <cell r="I51">
            <v>13999.5</v>
          </cell>
          <cell r="J51">
            <v>18666</v>
          </cell>
          <cell r="K51">
            <v>23332.5</v>
          </cell>
          <cell r="L51">
            <v>27999</v>
          </cell>
          <cell r="M51">
            <v>83997</v>
          </cell>
          <cell r="O51">
            <v>38430</v>
          </cell>
        </row>
        <row r="52">
          <cell r="D52">
            <v>42439</v>
          </cell>
          <cell r="E52">
            <v>42484</v>
          </cell>
          <cell r="G52">
            <v>9000</v>
          </cell>
          <cell r="H52">
            <v>15300</v>
          </cell>
          <cell r="I52">
            <v>2295</v>
          </cell>
          <cell r="J52">
            <v>3060</v>
          </cell>
          <cell r="K52">
            <v>3825</v>
          </cell>
          <cell r="L52">
            <v>4590</v>
          </cell>
          <cell r="M52">
            <v>13770</v>
          </cell>
          <cell r="O52">
            <v>6300</v>
          </cell>
        </row>
        <row r="53">
          <cell r="D53">
            <v>42263</v>
          </cell>
          <cell r="E53">
            <v>42303.5</v>
          </cell>
          <cell r="G53">
            <v>8100</v>
          </cell>
          <cell r="H53">
            <v>13770</v>
          </cell>
          <cell r="I53">
            <v>2065.5</v>
          </cell>
          <cell r="J53">
            <v>2754</v>
          </cell>
          <cell r="K53">
            <v>3442.5</v>
          </cell>
          <cell r="L53">
            <v>4131</v>
          </cell>
          <cell r="M53">
            <v>12393</v>
          </cell>
          <cell r="O53">
            <v>5670</v>
          </cell>
        </row>
        <row r="54">
          <cell r="D54">
            <v>42343</v>
          </cell>
          <cell r="E54">
            <v>42680.5</v>
          </cell>
          <cell r="G54">
            <v>67500</v>
          </cell>
          <cell r="H54">
            <v>114750</v>
          </cell>
          <cell r="I54">
            <v>17212.5</v>
          </cell>
          <cell r="J54">
            <v>22950</v>
          </cell>
          <cell r="K54">
            <v>28687.5</v>
          </cell>
          <cell r="L54">
            <v>34425</v>
          </cell>
          <cell r="M54">
            <v>103275</v>
          </cell>
          <cell r="O54">
            <v>47250</v>
          </cell>
        </row>
        <row r="55">
          <cell r="D55">
            <v>42398</v>
          </cell>
          <cell r="E55">
            <v>42672.5</v>
          </cell>
          <cell r="G55">
            <v>54900</v>
          </cell>
          <cell r="H55">
            <v>93330</v>
          </cell>
          <cell r="I55">
            <v>13999.5</v>
          </cell>
          <cell r="J55">
            <v>18666</v>
          </cell>
          <cell r="K55">
            <v>23332.5</v>
          </cell>
          <cell r="L55">
            <v>27999</v>
          </cell>
          <cell r="M55">
            <v>83997</v>
          </cell>
          <cell r="O55">
            <v>38430</v>
          </cell>
        </row>
        <row r="56">
          <cell r="D56">
            <v>42367</v>
          </cell>
          <cell r="E56">
            <v>42439</v>
          </cell>
          <cell r="G56">
            <v>14400</v>
          </cell>
          <cell r="H56">
            <v>24480</v>
          </cell>
          <cell r="I56">
            <v>3672</v>
          </cell>
          <cell r="J56">
            <v>4896</v>
          </cell>
          <cell r="K56">
            <v>6120</v>
          </cell>
          <cell r="L56">
            <v>7344</v>
          </cell>
          <cell r="M56">
            <v>22032</v>
          </cell>
          <cell r="O56">
            <v>10080</v>
          </cell>
        </row>
        <row r="57">
          <cell r="D57">
            <v>42292</v>
          </cell>
          <cell r="E57">
            <v>42332.5</v>
          </cell>
          <cell r="G57">
            <v>8100</v>
          </cell>
          <cell r="H57">
            <v>13770</v>
          </cell>
          <cell r="I57">
            <v>2065.5</v>
          </cell>
          <cell r="J57">
            <v>2754</v>
          </cell>
          <cell r="K57">
            <v>3442.5</v>
          </cell>
          <cell r="L57">
            <v>4131</v>
          </cell>
          <cell r="M57">
            <v>12393</v>
          </cell>
          <cell r="O57">
            <v>5670</v>
          </cell>
        </row>
        <row r="58">
          <cell r="D58">
            <v>42437</v>
          </cell>
          <cell r="E58">
            <v>42482</v>
          </cell>
          <cell r="G58">
            <v>9000</v>
          </cell>
          <cell r="H58">
            <v>15300</v>
          </cell>
          <cell r="I58">
            <v>2295</v>
          </cell>
          <cell r="J58">
            <v>3060</v>
          </cell>
          <cell r="K58">
            <v>3825</v>
          </cell>
          <cell r="L58">
            <v>4590</v>
          </cell>
          <cell r="M58">
            <v>13770</v>
          </cell>
          <cell r="O58">
            <v>6300</v>
          </cell>
        </row>
        <row r="59">
          <cell r="D59">
            <v>42319</v>
          </cell>
          <cell r="E59">
            <v>42413.5</v>
          </cell>
          <cell r="G59">
            <v>18900</v>
          </cell>
          <cell r="H59">
            <v>32130</v>
          </cell>
          <cell r="I59">
            <v>4819.5</v>
          </cell>
          <cell r="J59">
            <v>6426</v>
          </cell>
          <cell r="K59">
            <v>8032.5</v>
          </cell>
          <cell r="L59">
            <v>9639</v>
          </cell>
          <cell r="M59">
            <v>28917</v>
          </cell>
          <cell r="O59">
            <v>13230</v>
          </cell>
        </row>
        <row r="60">
          <cell r="D60">
            <v>42248</v>
          </cell>
          <cell r="E60">
            <v>42486.5</v>
          </cell>
          <cell r="G60">
            <v>47700</v>
          </cell>
          <cell r="H60">
            <v>81090</v>
          </cell>
          <cell r="I60">
            <v>12163.5</v>
          </cell>
          <cell r="J60">
            <v>16218</v>
          </cell>
          <cell r="K60">
            <v>20272.5</v>
          </cell>
          <cell r="L60">
            <v>24327</v>
          </cell>
          <cell r="M60">
            <v>72981</v>
          </cell>
          <cell r="O60">
            <v>33390</v>
          </cell>
        </row>
        <row r="61">
          <cell r="D61">
            <v>42248</v>
          </cell>
          <cell r="E61">
            <v>42288.5</v>
          </cell>
          <cell r="G61">
            <v>8100</v>
          </cell>
          <cell r="H61">
            <v>13770</v>
          </cell>
          <cell r="I61">
            <v>2065.5</v>
          </cell>
          <cell r="J61">
            <v>2754</v>
          </cell>
          <cell r="K61">
            <v>3442.5</v>
          </cell>
          <cell r="L61">
            <v>4131</v>
          </cell>
          <cell r="M61">
            <v>12393</v>
          </cell>
          <cell r="O61">
            <v>5670</v>
          </cell>
        </row>
        <row r="62">
          <cell r="D62">
            <v>42248</v>
          </cell>
          <cell r="E62">
            <v>42522.5</v>
          </cell>
          <cell r="G62">
            <v>54900</v>
          </cell>
          <cell r="H62">
            <v>93330</v>
          </cell>
          <cell r="I62">
            <v>13999.5</v>
          </cell>
          <cell r="J62">
            <v>18666</v>
          </cell>
          <cell r="K62">
            <v>23332.5</v>
          </cell>
          <cell r="L62">
            <v>27999</v>
          </cell>
          <cell r="M62">
            <v>83997</v>
          </cell>
          <cell r="O62">
            <v>38430</v>
          </cell>
        </row>
        <row r="63">
          <cell r="D63">
            <v>42248</v>
          </cell>
          <cell r="E63">
            <v>42711.5</v>
          </cell>
          <cell r="G63">
            <v>92700</v>
          </cell>
          <cell r="H63">
            <v>157590</v>
          </cell>
          <cell r="I63">
            <v>23638.5</v>
          </cell>
          <cell r="J63">
            <v>31518</v>
          </cell>
          <cell r="K63">
            <v>39397.5</v>
          </cell>
          <cell r="L63">
            <v>47277</v>
          </cell>
          <cell r="M63">
            <v>141831</v>
          </cell>
          <cell r="O63">
            <v>64890</v>
          </cell>
        </row>
        <row r="64">
          <cell r="D64">
            <v>42248</v>
          </cell>
          <cell r="E64">
            <v>42644</v>
          </cell>
          <cell r="G64">
            <v>79200</v>
          </cell>
          <cell r="H64">
            <v>134640</v>
          </cell>
          <cell r="I64">
            <v>20196</v>
          </cell>
          <cell r="J64">
            <v>26928</v>
          </cell>
          <cell r="K64">
            <v>33660</v>
          </cell>
          <cell r="L64">
            <v>40392</v>
          </cell>
          <cell r="M64">
            <v>121176</v>
          </cell>
          <cell r="O64">
            <v>55440</v>
          </cell>
        </row>
        <row r="65">
          <cell r="D65">
            <v>42248</v>
          </cell>
          <cell r="E65">
            <v>42342.5</v>
          </cell>
          <cell r="G65">
            <v>18900</v>
          </cell>
          <cell r="H65">
            <v>32130</v>
          </cell>
          <cell r="I65">
            <v>4819.5</v>
          </cell>
          <cell r="J65">
            <v>6426</v>
          </cell>
          <cell r="K65">
            <v>8032.5</v>
          </cell>
          <cell r="L65">
            <v>9639</v>
          </cell>
          <cell r="M65">
            <v>28917</v>
          </cell>
          <cell r="O65">
            <v>13230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ast"/>
      <sheetName val="South"/>
      <sheetName val="Midwest"/>
      <sheetName val="West"/>
      <sheetName val="Summary"/>
      <sheetName val="2-WayDataValidation"/>
      <sheetName val="Convert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Data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R List"/>
      <sheetName val="Mixed References"/>
      <sheetName val="IndexMatch"/>
      <sheetName val="MasterSSList"/>
      <sheetName val="FilmPrice"/>
      <sheetName val="Autofill"/>
      <sheetName val="Profits"/>
      <sheetName val="CitySales"/>
      <sheetName val="FindFormulas"/>
      <sheetName val="Arrays"/>
      <sheetName val="ProjBudget2010"/>
      <sheetName val="SalesByCategory"/>
      <sheetName val="Dates and Times"/>
      <sheetName val="TextProblems"/>
      <sheetName val="Rounding"/>
      <sheetName val="AutoSum"/>
      <sheetName val="ArrayFormulas"/>
      <sheetName val="Lookups"/>
      <sheetName val="TwoWayLookup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E1" t="str">
            <v>Disk Drives</v>
          </cell>
          <cell r="F1" t="str">
            <v>CD Drives</v>
          </cell>
          <cell r="G1" t="str">
            <v>DVD Drives</v>
          </cell>
          <cell r="H1" t="str">
            <v>ZIP Drives</v>
          </cell>
          <cell r="I1" t="str">
            <v>Flash Drives</v>
          </cell>
          <cell r="J1" t="str">
            <v>Combined</v>
          </cell>
        </row>
        <row r="2">
          <cell r="D2" t="str">
            <v>January</v>
          </cell>
          <cell r="E2">
            <v>5760</v>
          </cell>
          <cell r="F2">
            <v>3740</v>
          </cell>
          <cell r="G2">
            <v>5029</v>
          </cell>
          <cell r="H2">
            <v>1563</v>
          </cell>
          <cell r="I2">
            <v>4718</v>
          </cell>
          <cell r="J2">
            <v>20810</v>
          </cell>
        </row>
        <row r="3">
          <cell r="D3" t="str">
            <v>February</v>
          </cell>
          <cell r="E3">
            <v>6739</v>
          </cell>
          <cell r="F3">
            <v>2739</v>
          </cell>
          <cell r="G3">
            <v>4993</v>
          </cell>
          <cell r="H3">
            <v>1275</v>
          </cell>
          <cell r="I3">
            <v>2615</v>
          </cell>
          <cell r="J3">
            <v>18361</v>
          </cell>
        </row>
        <row r="4">
          <cell r="D4" t="str">
            <v>March</v>
          </cell>
          <cell r="E4">
            <v>6338</v>
          </cell>
          <cell r="F4">
            <v>3358</v>
          </cell>
          <cell r="G4">
            <v>4265</v>
          </cell>
          <cell r="H4">
            <v>1253</v>
          </cell>
          <cell r="I4">
            <v>5312</v>
          </cell>
          <cell r="J4">
            <v>20526</v>
          </cell>
        </row>
        <row r="5">
          <cell r="D5" t="str">
            <v>April</v>
          </cell>
          <cell r="E5">
            <v>5013</v>
          </cell>
          <cell r="F5">
            <v>4866</v>
          </cell>
          <cell r="G5">
            <v>4565</v>
          </cell>
          <cell r="H5">
            <v>1289</v>
          </cell>
          <cell r="I5">
            <v>1108</v>
          </cell>
          <cell r="J5">
            <v>16841</v>
          </cell>
        </row>
        <row r="6">
          <cell r="D6" t="str">
            <v>May</v>
          </cell>
          <cell r="E6">
            <v>6204</v>
          </cell>
          <cell r="F6">
            <v>2048</v>
          </cell>
          <cell r="G6">
            <v>4766</v>
          </cell>
          <cell r="H6">
            <v>1111</v>
          </cell>
          <cell r="I6">
            <v>1994</v>
          </cell>
          <cell r="J6">
            <v>16123</v>
          </cell>
        </row>
        <row r="7">
          <cell r="D7" t="str">
            <v>June</v>
          </cell>
          <cell r="E7">
            <v>6522</v>
          </cell>
          <cell r="F7">
            <v>2842</v>
          </cell>
          <cell r="G7">
            <v>5379</v>
          </cell>
          <cell r="H7">
            <v>1125</v>
          </cell>
          <cell r="I7">
            <v>3830</v>
          </cell>
          <cell r="J7">
            <v>19698</v>
          </cell>
        </row>
        <row r="8">
          <cell r="D8" t="str">
            <v>July</v>
          </cell>
          <cell r="E8">
            <v>6456</v>
          </cell>
          <cell r="F8">
            <v>2714</v>
          </cell>
          <cell r="G8">
            <v>4171</v>
          </cell>
          <cell r="H8">
            <v>1229</v>
          </cell>
          <cell r="I8">
            <v>3232</v>
          </cell>
          <cell r="J8">
            <v>17802</v>
          </cell>
        </row>
        <row r="9">
          <cell r="D9" t="str">
            <v>August</v>
          </cell>
          <cell r="E9">
            <v>6836</v>
          </cell>
          <cell r="F9">
            <v>2081</v>
          </cell>
          <cell r="G9">
            <v>5077</v>
          </cell>
          <cell r="H9">
            <v>1460</v>
          </cell>
          <cell r="I9">
            <v>1607</v>
          </cell>
          <cell r="J9">
            <v>17061</v>
          </cell>
        </row>
        <row r="10">
          <cell r="D10" t="str">
            <v>September</v>
          </cell>
          <cell r="E10">
            <v>5967</v>
          </cell>
          <cell r="F10">
            <v>4574</v>
          </cell>
          <cell r="G10">
            <v>4754</v>
          </cell>
          <cell r="H10">
            <v>1070</v>
          </cell>
          <cell r="I10">
            <v>1563</v>
          </cell>
          <cell r="J10">
            <v>17928</v>
          </cell>
        </row>
        <row r="11">
          <cell r="D11" t="str">
            <v>October</v>
          </cell>
          <cell r="E11">
            <v>6576</v>
          </cell>
          <cell r="F11">
            <v>4008</v>
          </cell>
          <cell r="G11">
            <v>4830</v>
          </cell>
          <cell r="H11">
            <v>1477</v>
          </cell>
          <cell r="I11">
            <v>2590</v>
          </cell>
          <cell r="J11">
            <v>19481</v>
          </cell>
        </row>
        <row r="12">
          <cell r="D12" t="str">
            <v>November</v>
          </cell>
          <cell r="E12">
            <v>6042</v>
          </cell>
          <cell r="F12">
            <v>4235</v>
          </cell>
          <cell r="G12">
            <v>4224</v>
          </cell>
          <cell r="H12">
            <v>1034</v>
          </cell>
          <cell r="I12">
            <v>3960</v>
          </cell>
          <cell r="J12">
            <v>19495</v>
          </cell>
        </row>
        <row r="13">
          <cell r="D13" t="str">
            <v>December</v>
          </cell>
          <cell r="E13">
            <v>5566</v>
          </cell>
          <cell r="F13">
            <v>3751</v>
          </cell>
          <cell r="G13">
            <v>5103</v>
          </cell>
          <cell r="H13">
            <v>1377</v>
          </cell>
          <cell r="I13">
            <v>3013</v>
          </cell>
          <cell r="J13">
            <v>18810</v>
          </cell>
        </row>
      </sheetData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3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ast"/>
      <sheetName val="South"/>
      <sheetName val="Midwest"/>
      <sheetName val="West"/>
      <sheetName val="Summary"/>
      <sheetName val="2-WayDataValidation"/>
      <sheetName val="Convert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27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5FED57-2CB6-4CEC-8125-CEBC66A3FEB2}">
  <we:reference id="wa200001584" version="3.0.5.6" store="en-US" storeType="OMEX"/>
  <we:alternateReferences>
    <we:reference id="WA200001584" version="3.0.5.6" store="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3DC59-F1F6-C145-8175-4F78B0BD2606}">
  <sheetPr codeName="Sheet1"/>
  <dimension ref="A1:J41"/>
  <sheetViews>
    <sheetView zoomScale="94" workbookViewId="0">
      <selection activeCell="M11" sqref="M11"/>
    </sheetView>
  </sheetViews>
  <sheetFormatPr defaultColWidth="11.19921875" defaultRowHeight="15.6" x14ac:dyDescent="0.3"/>
  <cols>
    <col min="1" max="1" width="21.69921875" customWidth="1"/>
    <col min="2" max="2" width="23.69921875" customWidth="1"/>
  </cols>
  <sheetData>
    <row r="1" spans="1:10" x14ac:dyDescent="0.3">
      <c r="A1" t="s">
        <v>55</v>
      </c>
    </row>
    <row r="2" spans="1:10" x14ac:dyDescent="0.3">
      <c r="A2" t="s">
        <v>56</v>
      </c>
    </row>
    <row r="3" spans="1:10" x14ac:dyDescent="0.3">
      <c r="A3" t="s">
        <v>57</v>
      </c>
    </row>
    <row r="5" spans="1:10" x14ac:dyDescent="0.3">
      <c r="A5" s="2" t="s">
        <v>0</v>
      </c>
    </row>
    <row r="7" spans="1:10" x14ac:dyDescent="0.3">
      <c r="B7" t="s">
        <v>8</v>
      </c>
      <c r="E7" t="s">
        <v>24</v>
      </c>
    </row>
    <row r="8" spans="1:10" x14ac:dyDescent="0.3">
      <c r="B8" t="s">
        <v>14</v>
      </c>
      <c r="E8" t="s">
        <v>25</v>
      </c>
      <c r="I8" t="s">
        <v>62</v>
      </c>
      <c r="J8" t="s">
        <v>63</v>
      </c>
    </row>
    <row r="9" spans="1:10" x14ac:dyDescent="0.3">
      <c r="B9" t="s">
        <v>15</v>
      </c>
      <c r="E9" t="s">
        <v>26</v>
      </c>
      <c r="I9" t="s">
        <v>64</v>
      </c>
      <c r="J9" t="s">
        <v>65</v>
      </c>
    </row>
    <row r="10" spans="1:10" x14ac:dyDescent="0.3">
      <c r="B10" t="s">
        <v>16</v>
      </c>
      <c r="E10" t="s">
        <v>50</v>
      </c>
    </row>
    <row r="11" spans="1:10" x14ac:dyDescent="0.3">
      <c r="B11" t="s">
        <v>17</v>
      </c>
      <c r="E11" t="s">
        <v>52</v>
      </c>
    </row>
    <row r="12" spans="1:10" x14ac:dyDescent="0.3">
      <c r="B12" t="s">
        <v>18</v>
      </c>
      <c r="E12" t="s">
        <v>53</v>
      </c>
      <c r="I12" t="s">
        <v>58</v>
      </c>
    </row>
    <row r="13" spans="1:10" x14ac:dyDescent="0.3">
      <c r="B13" t="s">
        <v>9</v>
      </c>
      <c r="E13" t="s">
        <v>54</v>
      </c>
      <c r="I13" t="s">
        <v>60</v>
      </c>
    </row>
    <row r="14" spans="1:10" x14ac:dyDescent="0.3">
      <c r="B14" t="s">
        <v>19</v>
      </c>
      <c r="I14" t="s">
        <v>59</v>
      </c>
    </row>
    <row r="15" spans="1:10" x14ac:dyDescent="0.3">
      <c r="B15" t="s">
        <v>6</v>
      </c>
      <c r="I15" t="s">
        <v>61</v>
      </c>
    </row>
    <row r="16" spans="1:10" x14ac:dyDescent="0.3">
      <c r="B16" t="s">
        <v>20</v>
      </c>
    </row>
    <row r="17" spans="1:9" x14ac:dyDescent="0.3">
      <c r="B17" t="s">
        <v>10</v>
      </c>
      <c r="I17" t="s">
        <v>66</v>
      </c>
    </row>
    <row r="18" spans="1:9" x14ac:dyDescent="0.3">
      <c r="B18" t="s">
        <v>11</v>
      </c>
      <c r="I18" t="s">
        <v>67</v>
      </c>
    </row>
    <row r="19" spans="1:9" x14ac:dyDescent="0.3">
      <c r="B19" t="s">
        <v>12</v>
      </c>
    </row>
    <row r="20" spans="1:9" x14ac:dyDescent="0.3">
      <c r="B20" t="s">
        <v>21</v>
      </c>
    </row>
    <row r="21" spans="1:9" x14ac:dyDescent="0.3">
      <c r="B21" t="s">
        <v>22</v>
      </c>
    </row>
    <row r="22" spans="1:9" x14ac:dyDescent="0.3">
      <c r="B22" t="s">
        <v>23</v>
      </c>
    </row>
    <row r="23" spans="1:9" x14ac:dyDescent="0.3">
      <c r="B23" t="s">
        <v>27</v>
      </c>
    </row>
    <row r="24" spans="1:9" x14ac:dyDescent="0.3">
      <c r="B24" t="s">
        <v>28</v>
      </c>
    </row>
    <row r="25" spans="1:9" x14ac:dyDescent="0.3">
      <c r="B25" t="s">
        <v>29</v>
      </c>
    </row>
    <row r="26" spans="1:9" x14ac:dyDescent="0.3">
      <c r="B26" t="s">
        <v>30</v>
      </c>
    </row>
    <row r="27" spans="1:9" x14ac:dyDescent="0.3">
      <c r="B27" t="s">
        <v>31</v>
      </c>
    </row>
    <row r="28" spans="1:9" x14ac:dyDescent="0.3">
      <c r="B28" t="s">
        <v>32</v>
      </c>
    </row>
    <row r="29" spans="1:9" x14ac:dyDescent="0.3">
      <c r="B29" t="s">
        <v>33</v>
      </c>
    </row>
    <row r="30" spans="1:9" x14ac:dyDescent="0.3">
      <c r="B30" t="s">
        <v>38</v>
      </c>
    </row>
    <row r="32" spans="1:9" x14ac:dyDescent="0.3">
      <c r="A32" s="2" t="s">
        <v>34</v>
      </c>
      <c r="D32" s="2" t="s">
        <v>42</v>
      </c>
    </row>
    <row r="33" spans="2:5" x14ac:dyDescent="0.3">
      <c r="B33" t="s">
        <v>35</v>
      </c>
      <c r="E33" t="s">
        <v>43</v>
      </c>
    </row>
    <row r="34" spans="2:5" x14ac:dyDescent="0.3">
      <c r="B34" t="s">
        <v>36</v>
      </c>
      <c r="E34" t="s">
        <v>44</v>
      </c>
    </row>
    <row r="35" spans="2:5" x14ac:dyDescent="0.3">
      <c r="B35" t="s">
        <v>37</v>
      </c>
      <c r="E35" t="s">
        <v>45</v>
      </c>
    </row>
    <row r="36" spans="2:5" x14ac:dyDescent="0.3">
      <c r="B36" t="s">
        <v>39</v>
      </c>
      <c r="E36" t="s">
        <v>46</v>
      </c>
    </row>
    <row r="37" spans="2:5" x14ac:dyDescent="0.3">
      <c r="B37" t="s">
        <v>40</v>
      </c>
      <c r="E37" t="s">
        <v>51</v>
      </c>
    </row>
    <row r="38" spans="2:5" x14ac:dyDescent="0.3">
      <c r="B38" t="s">
        <v>41</v>
      </c>
    </row>
    <row r="39" spans="2:5" x14ac:dyDescent="0.3">
      <c r="B39" t="s">
        <v>47</v>
      </c>
    </row>
    <row r="40" spans="2:5" x14ac:dyDescent="0.3">
      <c r="B40" t="s">
        <v>48</v>
      </c>
    </row>
    <row r="41" spans="2:5" x14ac:dyDescent="0.3">
      <c r="B41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1FFF-1CCE-6E48-9391-269ECEE23923}">
  <sheetPr codeName="Sheet2"/>
  <dimension ref="A1:P42"/>
  <sheetViews>
    <sheetView topLeftCell="A21" workbookViewId="0">
      <selection activeCell="B43" sqref="B43"/>
    </sheetView>
  </sheetViews>
  <sheetFormatPr defaultColWidth="11.19921875" defaultRowHeight="15.6" x14ac:dyDescent="0.3"/>
  <sheetData>
    <row r="1" spans="1:16" x14ac:dyDescent="0.3">
      <c r="A1" t="s">
        <v>93</v>
      </c>
    </row>
    <row r="2" spans="1:16" x14ac:dyDescent="0.3">
      <c r="A2" t="s">
        <v>94</v>
      </c>
      <c r="H2" s="3"/>
      <c r="P2" s="4"/>
    </row>
    <row r="3" spans="1:16" x14ac:dyDescent="0.3">
      <c r="A3" t="s">
        <v>95</v>
      </c>
      <c r="H3" s="3"/>
      <c r="P3" s="4"/>
    </row>
    <row r="4" spans="1:16" x14ac:dyDescent="0.3">
      <c r="A4" t="s">
        <v>96</v>
      </c>
      <c r="H4" s="3"/>
      <c r="P4" s="4"/>
    </row>
    <row r="5" spans="1:16" x14ac:dyDescent="0.3">
      <c r="A5" t="s">
        <v>97</v>
      </c>
      <c r="H5" s="3"/>
      <c r="P5" s="4"/>
    </row>
    <row r="6" spans="1:16" x14ac:dyDescent="0.3">
      <c r="A6" t="s">
        <v>98</v>
      </c>
      <c r="P6" s="4"/>
    </row>
    <row r="7" spans="1:16" x14ac:dyDescent="0.3">
      <c r="A7" t="s">
        <v>99</v>
      </c>
      <c r="H7" s="3"/>
      <c r="P7" s="4"/>
    </row>
    <row r="8" spans="1:16" x14ac:dyDescent="0.3">
      <c r="A8" t="s">
        <v>100</v>
      </c>
      <c r="H8" s="3"/>
      <c r="P8" s="4"/>
    </row>
    <row r="9" spans="1:16" x14ac:dyDescent="0.3">
      <c r="A9" t="s">
        <v>101</v>
      </c>
      <c r="H9" s="3"/>
      <c r="P9" s="4"/>
    </row>
    <row r="10" spans="1:16" x14ac:dyDescent="0.3">
      <c r="A10" t="s">
        <v>102</v>
      </c>
      <c r="H10" s="3"/>
      <c r="P10" s="4"/>
    </row>
    <row r="11" spans="1:16" x14ac:dyDescent="0.3">
      <c r="A11" t="s">
        <v>103</v>
      </c>
      <c r="H11" s="3"/>
      <c r="P11" s="4"/>
    </row>
    <row r="12" spans="1:16" x14ac:dyDescent="0.3">
      <c r="A12" t="s">
        <v>94</v>
      </c>
      <c r="H12" s="3"/>
      <c r="P12" s="4"/>
    </row>
    <row r="13" spans="1:16" x14ac:dyDescent="0.3">
      <c r="A13" t="s">
        <v>104</v>
      </c>
      <c r="H13" s="3"/>
      <c r="P13" s="4"/>
    </row>
    <row r="14" spans="1:16" x14ac:dyDescent="0.3">
      <c r="A14" t="s">
        <v>105</v>
      </c>
      <c r="P14" s="4"/>
    </row>
    <row r="15" spans="1:16" x14ac:dyDescent="0.3">
      <c r="A15" t="s">
        <v>106</v>
      </c>
      <c r="H15" s="3"/>
      <c r="P15" s="4"/>
    </row>
    <row r="16" spans="1:16" x14ac:dyDescent="0.3">
      <c r="A16" t="s">
        <v>107</v>
      </c>
      <c r="H16" s="3"/>
      <c r="P16" s="4"/>
    </row>
    <row r="17" spans="1:16" x14ac:dyDescent="0.3">
      <c r="A17" t="s">
        <v>108</v>
      </c>
      <c r="H17" s="3"/>
      <c r="P17" s="4"/>
    </row>
    <row r="18" spans="1:16" x14ac:dyDescent="0.3">
      <c r="A18" t="s">
        <v>109</v>
      </c>
      <c r="H18" s="3"/>
      <c r="P18" s="4"/>
    </row>
    <row r="19" spans="1:16" x14ac:dyDescent="0.3">
      <c r="A19" t="s">
        <v>110</v>
      </c>
      <c r="H19" s="3"/>
      <c r="P19" s="4"/>
    </row>
    <row r="20" spans="1:16" x14ac:dyDescent="0.3">
      <c r="A20" t="s">
        <v>111</v>
      </c>
      <c r="H20" s="3"/>
      <c r="P20" s="4"/>
    </row>
    <row r="21" spans="1:16" x14ac:dyDescent="0.3">
      <c r="A21" t="s">
        <v>112</v>
      </c>
      <c r="H21" s="3"/>
      <c r="P21" s="4"/>
    </row>
    <row r="22" spans="1:16" x14ac:dyDescent="0.3">
      <c r="A22" t="s">
        <v>113</v>
      </c>
      <c r="H22" s="3"/>
      <c r="P22" s="4"/>
    </row>
    <row r="27" spans="1:16" x14ac:dyDescent="0.3">
      <c r="B27" t="s">
        <v>91</v>
      </c>
      <c r="D27" t="s">
        <v>13</v>
      </c>
    </row>
    <row r="28" spans="1:16" x14ac:dyDescent="0.3">
      <c r="B28">
        <v>1</v>
      </c>
      <c r="C28" t="s">
        <v>79</v>
      </c>
      <c r="E28" t="s">
        <v>84</v>
      </c>
    </row>
    <row r="29" spans="1:16" x14ac:dyDescent="0.3">
      <c r="B29">
        <v>2</v>
      </c>
      <c r="C29" t="s">
        <v>5</v>
      </c>
      <c r="E29" t="s">
        <v>85</v>
      </c>
    </row>
    <row r="30" spans="1:16" x14ac:dyDescent="0.3">
      <c r="B30">
        <v>3</v>
      </c>
      <c r="C30" t="s">
        <v>1</v>
      </c>
      <c r="E30" t="s">
        <v>86</v>
      </c>
    </row>
    <row r="31" spans="1:16" x14ac:dyDescent="0.3">
      <c r="B31">
        <v>4</v>
      </c>
      <c r="C31" t="s">
        <v>7</v>
      </c>
      <c r="E31" t="s">
        <v>87</v>
      </c>
    </row>
    <row r="32" spans="1:16" x14ac:dyDescent="0.3">
      <c r="B32">
        <v>5</v>
      </c>
      <c r="C32" t="s">
        <v>80</v>
      </c>
      <c r="E32" t="s">
        <v>88</v>
      </c>
    </row>
    <row r="33" spans="1:5" x14ac:dyDescent="0.3">
      <c r="E33" t="s">
        <v>89</v>
      </c>
    </row>
    <row r="34" spans="1:5" x14ac:dyDescent="0.3">
      <c r="E34" t="s">
        <v>90</v>
      </c>
    </row>
    <row r="35" spans="1:5" x14ac:dyDescent="0.3">
      <c r="E35" t="s">
        <v>92</v>
      </c>
    </row>
    <row r="36" spans="1:5" x14ac:dyDescent="0.3">
      <c r="E36" t="s">
        <v>114</v>
      </c>
    </row>
    <row r="37" spans="1:5" x14ac:dyDescent="0.3">
      <c r="E37" t="s">
        <v>117</v>
      </c>
    </row>
    <row r="38" spans="1:5" x14ac:dyDescent="0.3">
      <c r="E38" t="s">
        <v>115</v>
      </c>
    </row>
    <row r="39" spans="1:5" x14ac:dyDescent="0.3">
      <c r="E39" t="s">
        <v>116</v>
      </c>
    </row>
    <row r="41" spans="1:5" x14ac:dyDescent="0.3">
      <c r="A41" t="s">
        <v>118</v>
      </c>
    </row>
    <row r="42" spans="1:5" x14ac:dyDescent="0.3">
      <c r="B42" t="s">
        <v>3</v>
      </c>
      <c r="C42" t="s">
        <v>119</v>
      </c>
      <c r="D42" t="s"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63FC3-704F-40B4-8EF2-5297219FE536}">
  <sheetPr codeName="Sheet3"/>
  <dimension ref="A1:R25"/>
  <sheetViews>
    <sheetView tabSelected="1" workbookViewId="0">
      <pane xSplit="5" ySplit="1" topLeftCell="M2" activePane="bottomRight" state="frozen"/>
      <selection pane="topRight" activeCell="E1" sqref="E1"/>
      <selection pane="bottomLeft" activeCell="A2" sqref="A2"/>
      <selection pane="bottomRight" activeCell="G26" sqref="G26"/>
    </sheetView>
  </sheetViews>
  <sheetFormatPr defaultColWidth="11.19921875" defaultRowHeight="15.6" x14ac:dyDescent="0.3"/>
  <cols>
    <col min="1" max="1" width="11.19921875" customWidth="1"/>
    <col min="2" max="2" width="13.5" customWidth="1"/>
    <col min="4" max="4" width="12.69921875" customWidth="1"/>
    <col min="5" max="5" width="12" customWidth="1"/>
    <col min="6" max="6" width="12.59765625" customWidth="1"/>
    <col min="8" max="8" width="13.59765625" customWidth="1"/>
    <col min="9" max="9" width="12.09765625" customWidth="1"/>
    <col min="10" max="10" width="17.8984375" customWidth="1"/>
    <col min="11" max="11" width="12.296875" customWidth="1"/>
    <col min="13" max="13" width="16.09765625" customWidth="1"/>
    <col min="14" max="14" width="16.19921875" customWidth="1"/>
    <col min="15" max="15" width="15.3984375" customWidth="1"/>
    <col min="16" max="17" width="17.59765625" customWidth="1"/>
    <col min="18" max="18" width="21.796875" customWidth="1"/>
  </cols>
  <sheetData>
    <row r="1" spans="1:18" ht="27.6" customHeight="1" x14ac:dyDescent="0.3">
      <c r="A1" s="12" t="s">
        <v>227</v>
      </c>
      <c r="B1" s="12" t="s">
        <v>121</v>
      </c>
      <c r="C1" s="12" t="s">
        <v>122</v>
      </c>
      <c r="D1" s="12" t="s">
        <v>123</v>
      </c>
      <c r="E1" s="12" t="s">
        <v>124</v>
      </c>
      <c r="F1" s="12" t="s">
        <v>1</v>
      </c>
      <c r="G1" s="12" t="s">
        <v>7</v>
      </c>
      <c r="H1" s="12" t="s">
        <v>125</v>
      </c>
      <c r="I1" s="12" t="s">
        <v>126</v>
      </c>
      <c r="J1" s="12" t="s">
        <v>127</v>
      </c>
      <c r="K1" s="12" t="s">
        <v>128</v>
      </c>
      <c r="L1" s="12" t="s">
        <v>129</v>
      </c>
      <c r="M1" s="12" t="s">
        <v>130</v>
      </c>
      <c r="N1" s="12" t="s">
        <v>131</v>
      </c>
      <c r="O1" s="12" t="s">
        <v>132</v>
      </c>
      <c r="P1" s="12" t="s">
        <v>133</v>
      </c>
      <c r="Q1" s="12" t="s">
        <v>134</v>
      </c>
      <c r="R1" s="12" t="s">
        <v>2</v>
      </c>
    </row>
    <row r="2" spans="1:18" x14ac:dyDescent="0.3">
      <c r="A2" s="13" cm="1">
        <f t="array" ref="A2:A21">_xlfn.SEQUENCE(20,1,1,1)</f>
        <v>1</v>
      </c>
      <c r="B2" s="13" t="s">
        <v>135</v>
      </c>
      <c r="C2" s="13" t="s">
        <v>136</v>
      </c>
      <c r="D2" s="13" t="s">
        <v>137</v>
      </c>
      <c r="E2" s="13" t="s">
        <v>138</v>
      </c>
      <c r="F2" s="13" t="s">
        <v>173</v>
      </c>
      <c r="G2" s="13" t="s">
        <v>139</v>
      </c>
      <c r="H2" s="13" t="s">
        <v>140</v>
      </c>
      <c r="I2" s="14">
        <v>43905</v>
      </c>
      <c r="J2" s="13" t="s">
        <v>141</v>
      </c>
      <c r="K2" s="13">
        <v>45000</v>
      </c>
      <c r="L2" s="13">
        <v>9000</v>
      </c>
      <c r="M2" s="13">
        <v>5</v>
      </c>
      <c r="N2" s="13">
        <v>250</v>
      </c>
      <c r="O2" s="13">
        <v>2</v>
      </c>
      <c r="P2" s="13">
        <v>4.2</v>
      </c>
      <c r="Q2" s="15">
        <v>45658</v>
      </c>
      <c r="R2" s="13" t="str">
        <f t="shared" ref="R2:R21" si="0">PROPER(TRIM(_xlfn.TEXTJOIN(" ",TRUE,C2:E2)))</f>
        <v>Rahul Kumar Sharma</v>
      </c>
    </row>
    <row r="3" spans="1:18" x14ac:dyDescent="0.3">
      <c r="A3" s="13">
        <v>2</v>
      </c>
      <c r="B3" s="13" t="s">
        <v>142</v>
      </c>
      <c r="C3" s="13" t="s">
        <v>143</v>
      </c>
      <c r="D3" s="13"/>
      <c r="E3" s="13" t="s">
        <v>144</v>
      </c>
      <c r="F3" s="13" t="s">
        <v>145</v>
      </c>
      <c r="G3" s="13" t="s">
        <v>146</v>
      </c>
      <c r="H3" s="13" t="s">
        <v>147</v>
      </c>
      <c r="I3" s="14">
        <v>44328</v>
      </c>
      <c r="J3" s="13" t="s">
        <v>141</v>
      </c>
      <c r="K3" s="13">
        <v>52000</v>
      </c>
      <c r="L3" s="13"/>
      <c r="M3" s="13">
        <v>12.5</v>
      </c>
      <c r="N3" s="13">
        <v>300</v>
      </c>
      <c r="O3" s="13">
        <v>1.5</v>
      </c>
      <c r="P3" s="13">
        <v>3.8</v>
      </c>
      <c r="Q3" s="15">
        <v>45658</v>
      </c>
      <c r="R3" s="13" t="str">
        <f t="shared" si="0"/>
        <v>Anita Gupta</v>
      </c>
    </row>
    <row r="4" spans="1:18" x14ac:dyDescent="0.3">
      <c r="A4" s="13">
        <v>3</v>
      </c>
      <c r="B4" s="13" t="s">
        <v>148</v>
      </c>
      <c r="C4" s="13" t="s">
        <v>149</v>
      </c>
      <c r="D4" s="13" t="s">
        <v>150</v>
      </c>
      <c r="E4" s="13" t="s">
        <v>151</v>
      </c>
      <c r="F4" s="13" t="s">
        <v>178</v>
      </c>
      <c r="G4" s="13" t="s">
        <v>152</v>
      </c>
      <c r="H4" s="13" t="s">
        <v>153</v>
      </c>
      <c r="I4" s="14">
        <v>43687</v>
      </c>
      <c r="J4" s="13" t="s">
        <v>154</v>
      </c>
      <c r="K4" s="13">
        <v>38000</v>
      </c>
      <c r="L4" s="13">
        <v>7600</v>
      </c>
      <c r="M4" s="13">
        <v>0</v>
      </c>
      <c r="N4" s="13">
        <v>200</v>
      </c>
      <c r="O4" s="13">
        <v>8.6999999999999993</v>
      </c>
      <c r="P4" s="13">
        <v>4.5</v>
      </c>
      <c r="Q4" s="15">
        <v>45658</v>
      </c>
      <c r="R4" s="13" t="str">
        <f t="shared" si="0"/>
        <v>Priya Devi Singh</v>
      </c>
    </row>
    <row r="5" spans="1:18" x14ac:dyDescent="0.3">
      <c r="A5" s="13">
        <v>4</v>
      </c>
      <c r="B5" s="13" t="s">
        <v>155</v>
      </c>
      <c r="C5" s="13" t="s">
        <v>156</v>
      </c>
      <c r="D5" s="13" t="s">
        <v>157</v>
      </c>
      <c r="E5" s="13" t="s">
        <v>158</v>
      </c>
      <c r="F5" s="13" t="s">
        <v>226</v>
      </c>
      <c r="G5" s="13" t="s">
        <v>139</v>
      </c>
      <c r="H5" s="13" t="s">
        <v>140</v>
      </c>
      <c r="I5" s="14">
        <v>44562</v>
      </c>
      <c r="J5" s="13" t="s">
        <v>141</v>
      </c>
      <c r="K5" s="13">
        <v>65000</v>
      </c>
      <c r="L5" s="13">
        <v>13000</v>
      </c>
      <c r="M5" s="13">
        <v>8</v>
      </c>
      <c r="N5" s="13">
        <v>280</v>
      </c>
      <c r="O5" s="13">
        <v>0.5</v>
      </c>
      <c r="P5" s="13">
        <v>3.2</v>
      </c>
      <c r="Q5" s="15">
        <v>45658</v>
      </c>
      <c r="R5" s="13" t="str">
        <f t="shared" si="0"/>
        <v>Sunil Ram Patel</v>
      </c>
    </row>
    <row r="6" spans="1:18" x14ac:dyDescent="0.3">
      <c r="A6" s="13">
        <v>5</v>
      </c>
      <c r="B6" s="13" t="s">
        <v>159</v>
      </c>
      <c r="C6" s="13" t="s">
        <v>160</v>
      </c>
      <c r="D6" s="13"/>
      <c r="E6" s="13" t="s">
        <v>161</v>
      </c>
      <c r="F6" s="13" t="s">
        <v>145</v>
      </c>
      <c r="G6" s="13" t="s">
        <v>162</v>
      </c>
      <c r="H6" s="13" t="s">
        <v>163</v>
      </c>
      <c r="I6" s="13"/>
      <c r="J6" s="13" t="s">
        <v>141</v>
      </c>
      <c r="K6" s="13">
        <v>42000</v>
      </c>
      <c r="L6" s="13">
        <v>8400</v>
      </c>
      <c r="M6" s="13">
        <v>3.2</v>
      </c>
      <c r="N6" s="13">
        <v>220</v>
      </c>
      <c r="O6" s="13">
        <v>4</v>
      </c>
      <c r="P6" s="13">
        <v>4.0999999999999996</v>
      </c>
      <c r="Q6" s="15">
        <v>45658</v>
      </c>
      <c r="R6" s="13" t="str">
        <f t="shared" si="0"/>
        <v>Neha Reddy</v>
      </c>
    </row>
    <row r="7" spans="1:18" x14ac:dyDescent="0.3">
      <c r="A7" s="13">
        <v>6</v>
      </c>
      <c r="B7" s="13" t="s">
        <v>164</v>
      </c>
      <c r="C7" s="13" t="s">
        <v>165</v>
      </c>
      <c r="D7" s="13" t="s">
        <v>137</v>
      </c>
      <c r="E7" s="13" t="s">
        <v>166</v>
      </c>
      <c r="F7" s="13" t="s">
        <v>225</v>
      </c>
      <c r="G7" s="13" t="s">
        <v>167</v>
      </c>
      <c r="H7" s="13" t="s">
        <v>168</v>
      </c>
      <c r="I7" s="14">
        <v>43306</v>
      </c>
      <c r="J7" s="13" t="s">
        <v>141</v>
      </c>
      <c r="K7" s="13">
        <v>48000</v>
      </c>
      <c r="L7" s="13">
        <v>9600</v>
      </c>
      <c r="M7" s="13">
        <v>0</v>
      </c>
      <c r="N7" s="13">
        <v>250</v>
      </c>
      <c r="O7" s="13">
        <v>6.2</v>
      </c>
      <c r="P7" s="13">
        <v>3.9</v>
      </c>
      <c r="Q7" s="15">
        <v>45658</v>
      </c>
      <c r="R7" s="13" t="str">
        <f t="shared" si="0"/>
        <v>Rajesh Kumar Sharma</v>
      </c>
    </row>
    <row r="8" spans="1:18" x14ac:dyDescent="0.3">
      <c r="A8" s="13">
        <v>7</v>
      </c>
      <c r="B8" s="13" t="s">
        <v>169</v>
      </c>
      <c r="C8" s="13" t="s">
        <v>170</v>
      </c>
      <c r="D8" s="13" t="s">
        <v>171</v>
      </c>
      <c r="E8" s="13" t="s">
        <v>172</v>
      </c>
      <c r="F8" s="13" t="s">
        <v>173</v>
      </c>
      <c r="G8" s="13" t="s">
        <v>146</v>
      </c>
      <c r="H8" s="13" t="s">
        <v>174</v>
      </c>
      <c r="I8" s="14">
        <v>44147</v>
      </c>
      <c r="J8" s="13" t="s">
        <v>154</v>
      </c>
      <c r="K8" s="13">
        <v>32000</v>
      </c>
      <c r="L8" s="13">
        <v>6400</v>
      </c>
      <c r="M8" s="13">
        <v>15</v>
      </c>
      <c r="N8" s="13">
        <v>200</v>
      </c>
      <c r="O8" s="13">
        <v>2.8</v>
      </c>
      <c r="P8" s="13">
        <v>4</v>
      </c>
      <c r="Q8" s="15">
        <v>45658</v>
      </c>
      <c r="R8" s="13" t="str">
        <f t="shared" si="0"/>
        <v>Deepa Prasad Joshi</v>
      </c>
    </row>
    <row r="9" spans="1:18" x14ac:dyDescent="0.3">
      <c r="A9" s="13">
        <v>8</v>
      </c>
      <c r="B9" s="13" t="s">
        <v>175</v>
      </c>
      <c r="C9" s="13" t="s">
        <v>176</v>
      </c>
      <c r="D9" s="13"/>
      <c r="E9" s="13" t="s">
        <v>177</v>
      </c>
      <c r="F9" s="13" t="s">
        <v>178</v>
      </c>
      <c r="G9" s="13" t="s">
        <v>152</v>
      </c>
      <c r="H9" s="13" t="s">
        <v>179</v>
      </c>
      <c r="I9" s="14">
        <v>44291</v>
      </c>
      <c r="J9" s="13" t="s">
        <v>141</v>
      </c>
      <c r="K9" s="13">
        <v>55000</v>
      </c>
      <c r="L9" s="13"/>
      <c r="M9" s="13">
        <v>7.5</v>
      </c>
      <c r="N9" s="13">
        <v>300</v>
      </c>
      <c r="O9" s="13">
        <v>1</v>
      </c>
      <c r="P9" s="13">
        <v>4.3</v>
      </c>
      <c r="Q9" s="15">
        <v>45658</v>
      </c>
      <c r="R9" s="13" t="str">
        <f t="shared" si="0"/>
        <v>Amit Verma</v>
      </c>
    </row>
    <row r="10" spans="1:18" x14ac:dyDescent="0.3">
      <c r="A10" s="13">
        <v>9</v>
      </c>
      <c r="B10" s="13" t="s">
        <v>180</v>
      </c>
      <c r="C10" s="13" t="s">
        <v>181</v>
      </c>
      <c r="D10" s="13" t="s">
        <v>182</v>
      </c>
      <c r="E10" s="13" t="s">
        <v>183</v>
      </c>
      <c r="F10" s="13" t="s">
        <v>145</v>
      </c>
      <c r="G10" s="13" t="s">
        <v>139</v>
      </c>
      <c r="H10" s="13" t="s">
        <v>184</v>
      </c>
      <c r="I10" s="14">
        <v>43738</v>
      </c>
      <c r="J10" s="13" t="s">
        <v>141</v>
      </c>
      <c r="K10" s="13">
        <v>41000</v>
      </c>
      <c r="L10" s="13">
        <v>8200</v>
      </c>
      <c r="M10" s="13">
        <v>2</v>
      </c>
      <c r="N10" s="13">
        <v>220</v>
      </c>
      <c r="O10" s="13">
        <v>9.1</v>
      </c>
      <c r="P10" s="13">
        <v>3.5</v>
      </c>
      <c r="Q10" s="15">
        <v>45658</v>
      </c>
      <c r="R10" s="13" t="str">
        <f t="shared" si="0"/>
        <v>Sarika Mohan Das</v>
      </c>
    </row>
    <row r="11" spans="1:18" x14ac:dyDescent="0.3">
      <c r="A11" s="13">
        <v>10</v>
      </c>
      <c r="B11" s="13" t="s">
        <v>185</v>
      </c>
      <c r="C11" s="13" t="s">
        <v>186</v>
      </c>
      <c r="D11" s="13" t="s">
        <v>151</v>
      </c>
      <c r="E11" s="13" t="s">
        <v>187</v>
      </c>
      <c r="F11" s="13" t="s">
        <v>226</v>
      </c>
      <c r="G11" s="13" t="s">
        <v>162</v>
      </c>
      <c r="H11" s="13" t="s">
        <v>140</v>
      </c>
      <c r="I11" s="14">
        <v>44975</v>
      </c>
      <c r="J11" s="13" t="s">
        <v>154</v>
      </c>
      <c r="K11" s="13">
        <v>58000</v>
      </c>
      <c r="L11" s="13">
        <v>11600</v>
      </c>
      <c r="M11" s="13">
        <v>10.5</v>
      </c>
      <c r="N11" s="13">
        <v>280</v>
      </c>
      <c r="O11" s="13">
        <v>3</v>
      </c>
      <c r="P11" s="13">
        <v>4.7</v>
      </c>
      <c r="Q11" s="15">
        <v>45658</v>
      </c>
      <c r="R11" s="13" t="str">
        <f t="shared" si="0"/>
        <v>Vikram Singh Rao</v>
      </c>
    </row>
    <row r="12" spans="1:18" x14ac:dyDescent="0.3">
      <c r="A12" s="13">
        <v>11</v>
      </c>
      <c r="B12" s="13" t="s">
        <v>188</v>
      </c>
      <c r="C12" s="13" t="s">
        <v>189</v>
      </c>
      <c r="D12" s="13"/>
      <c r="E12" s="13" t="s">
        <v>190</v>
      </c>
      <c r="F12" s="13" t="s">
        <v>191</v>
      </c>
      <c r="G12" s="13" t="s">
        <v>192</v>
      </c>
      <c r="H12" s="13" t="s">
        <v>163</v>
      </c>
      <c r="I12" s="14">
        <v>44004</v>
      </c>
      <c r="J12" s="13" t="s">
        <v>141</v>
      </c>
      <c r="K12" s="13">
        <v>49000</v>
      </c>
      <c r="L12" s="13">
        <v>9800</v>
      </c>
      <c r="M12" s="13">
        <v>4.8</v>
      </c>
      <c r="N12" s="13">
        <v>260</v>
      </c>
      <c r="O12" s="13">
        <v>5.5</v>
      </c>
      <c r="P12" s="13">
        <v>4.4000000000000004</v>
      </c>
      <c r="Q12" s="15">
        <v>45689</v>
      </c>
      <c r="R12" s="13" t="str">
        <f t="shared" si="0"/>
        <v>Pooja Nair</v>
      </c>
    </row>
    <row r="13" spans="1:18" x14ac:dyDescent="0.3">
      <c r="A13" s="13">
        <v>12</v>
      </c>
      <c r="B13" s="13" t="s">
        <v>193</v>
      </c>
      <c r="C13" s="13" t="s">
        <v>194</v>
      </c>
      <c r="D13" s="13" t="s">
        <v>195</v>
      </c>
      <c r="E13" s="13" t="s">
        <v>196</v>
      </c>
      <c r="F13" s="13" t="s">
        <v>173</v>
      </c>
      <c r="G13" s="13" t="s">
        <v>197</v>
      </c>
      <c r="H13" s="13" t="s">
        <v>198</v>
      </c>
      <c r="I13" s="13"/>
      <c r="J13" s="13" t="s">
        <v>154</v>
      </c>
      <c r="K13" s="13">
        <v>29000</v>
      </c>
      <c r="L13" s="13">
        <v>5800</v>
      </c>
      <c r="M13" s="13">
        <v>0</v>
      </c>
      <c r="N13" s="13">
        <v>180</v>
      </c>
      <c r="O13" s="13">
        <v>7.2</v>
      </c>
      <c r="P13" s="13">
        <v>3.1</v>
      </c>
      <c r="Q13" s="15">
        <v>45689</v>
      </c>
      <c r="R13" s="13" t="str">
        <f t="shared" si="0"/>
        <v>Kiran Dev Bose</v>
      </c>
    </row>
    <row r="14" spans="1:18" x14ac:dyDescent="0.3">
      <c r="A14" s="13">
        <v>13</v>
      </c>
      <c r="B14" s="13" t="s">
        <v>199</v>
      </c>
      <c r="C14" s="13" t="s">
        <v>200</v>
      </c>
      <c r="D14" s="13"/>
      <c r="E14" s="13" t="s">
        <v>201</v>
      </c>
      <c r="F14" s="13" t="s">
        <v>178</v>
      </c>
      <c r="G14" s="13" t="s">
        <v>146</v>
      </c>
      <c r="H14" s="13" t="s">
        <v>202</v>
      </c>
      <c r="I14" s="14">
        <v>43083</v>
      </c>
      <c r="J14" s="13" t="s">
        <v>141</v>
      </c>
      <c r="K14" s="13">
        <v>62000</v>
      </c>
      <c r="L14" s="13">
        <v>12400</v>
      </c>
      <c r="M14" s="13">
        <v>6</v>
      </c>
      <c r="N14" s="13">
        <v>320</v>
      </c>
      <c r="O14" s="13">
        <v>1.8</v>
      </c>
      <c r="P14" s="13">
        <v>4.5999999999999996</v>
      </c>
      <c r="Q14" s="15">
        <v>45689</v>
      </c>
      <c r="R14" s="13" t="str">
        <f t="shared" si="0"/>
        <v>Rohit Malhotra</v>
      </c>
    </row>
    <row r="15" spans="1:18" x14ac:dyDescent="0.3">
      <c r="A15" s="13">
        <v>14</v>
      </c>
      <c r="B15" s="13" t="s">
        <v>203</v>
      </c>
      <c r="C15" s="13" t="s">
        <v>204</v>
      </c>
      <c r="D15" s="13" t="s">
        <v>205</v>
      </c>
      <c r="E15" s="13" t="s">
        <v>206</v>
      </c>
      <c r="F15" s="13" t="s">
        <v>145</v>
      </c>
      <c r="G15" s="13" t="s">
        <v>152</v>
      </c>
      <c r="H15" s="13" t="s">
        <v>140</v>
      </c>
      <c r="I15" s="14">
        <v>44477</v>
      </c>
      <c r="J15" s="13" t="s">
        <v>141</v>
      </c>
      <c r="K15" s="13">
        <v>68000</v>
      </c>
      <c r="L15" s="13"/>
      <c r="M15" s="13">
        <v>11</v>
      </c>
      <c r="N15" s="13">
        <v>350</v>
      </c>
      <c r="O15" s="13">
        <v>0.9</v>
      </c>
      <c r="P15" s="13">
        <v>4.8</v>
      </c>
      <c r="Q15" s="15">
        <v>45689</v>
      </c>
      <c r="R15" s="13" t="str">
        <f t="shared" si="0"/>
        <v>Anjali Suresh Iyer</v>
      </c>
    </row>
    <row r="16" spans="1:18" x14ac:dyDescent="0.3">
      <c r="A16" s="13">
        <v>15</v>
      </c>
      <c r="B16" s="13" t="s">
        <v>207</v>
      </c>
      <c r="C16" s="13" t="s">
        <v>208</v>
      </c>
      <c r="D16" s="13" t="s">
        <v>209</v>
      </c>
      <c r="E16" s="13" t="s">
        <v>210</v>
      </c>
      <c r="F16" s="13" t="s">
        <v>225</v>
      </c>
      <c r="G16" s="13" t="s">
        <v>139</v>
      </c>
      <c r="H16" s="13" t="s">
        <v>168</v>
      </c>
      <c r="I16" s="14">
        <v>43588</v>
      </c>
      <c r="J16" s="13" t="s">
        <v>141</v>
      </c>
      <c r="K16" s="13">
        <v>44000</v>
      </c>
      <c r="L16" s="13">
        <v>8800</v>
      </c>
      <c r="M16" s="13">
        <v>2.5</v>
      </c>
      <c r="N16" s="13">
        <v>240</v>
      </c>
      <c r="O16" s="13">
        <v>4.3</v>
      </c>
      <c r="P16" s="13">
        <v>3.7</v>
      </c>
      <c r="Q16" s="15">
        <v>45689</v>
      </c>
      <c r="R16" s="13" t="str">
        <f t="shared" si="0"/>
        <v>Manish Prakash Thakur</v>
      </c>
    </row>
    <row r="17" spans="1:18" x14ac:dyDescent="0.3">
      <c r="A17" s="13">
        <v>16</v>
      </c>
      <c r="B17" s="13" t="s">
        <v>211</v>
      </c>
      <c r="C17" s="13" t="s">
        <v>212</v>
      </c>
      <c r="D17" s="13"/>
      <c r="E17" s="13" t="s">
        <v>213</v>
      </c>
      <c r="F17" s="13" t="s">
        <v>173</v>
      </c>
      <c r="G17" s="13" t="s">
        <v>167</v>
      </c>
      <c r="H17" s="13" t="s">
        <v>174</v>
      </c>
      <c r="I17" s="14">
        <v>44588</v>
      </c>
      <c r="J17" s="13" t="s">
        <v>154</v>
      </c>
      <c r="K17" s="13">
        <v>35000</v>
      </c>
      <c r="L17" s="13">
        <v>7000</v>
      </c>
      <c r="M17" s="13">
        <v>18.2</v>
      </c>
      <c r="N17" s="13">
        <v>210</v>
      </c>
      <c r="O17" s="13">
        <v>6.8</v>
      </c>
      <c r="P17" s="13">
        <v>4.2</v>
      </c>
      <c r="Q17" s="15">
        <v>45689</v>
      </c>
      <c r="R17" s="13" t="str">
        <f t="shared" si="0"/>
        <v>Swati Chopra</v>
      </c>
    </row>
    <row r="18" spans="1:18" x14ac:dyDescent="0.3">
      <c r="A18" s="13">
        <v>17</v>
      </c>
      <c r="B18" s="13" t="s">
        <v>214</v>
      </c>
      <c r="C18" s="13" t="s">
        <v>215</v>
      </c>
      <c r="D18" s="13" t="s">
        <v>137</v>
      </c>
      <c r="E18" s="13" t="s">
        <v>216</v>
      </c>
      <c r="F18" s="13" t="s">
        <v>191</v>
      </c>
      <c r="G18" s="13" t="s">
        <v>162</v>
      </c>
      <c r="H18" s="13" t="s">
        <v>147</v>
      </c>
      <c r="I18" s="14">
        <v>44062</v>
      </c>
      <c r="J18" s="13" t="s">
        <v>141</v>
      </c>
      <c r="K18" s="13">
        <v>56000</v>
      </c>
      <c r="L18" s="13">
        <v>11200</v>
      </c>
      <c r="M18" s="13">
        <v>0</v>
      </c>
      <c r="N18" s="13">
        <v>280</v>
      </c>
      <c r="O18" s="13">
        <v>3.1</v>
      </c>
      <c r="P18" s="13">
        <v>3.9</v>
      </c>
      <c r="Q18" s="15">
        <v>45689</v>
      </c>
      <c r="R18" s="13" t="str">
        <f t="shared" si="0"/>
        <v>Gaurav Kumar Aggarwal</v>
      </c>
    </row>
    <row r="19" spans="1:18" x14ac:dyDescent="0.3">
      <c r="A19" s="13">
        <v>18</v>
      </c>
      <c r="B19" s="13" t="s">
        <v>217</v>
      </c>
      <c r="C19" s="13" t="s">
        <v>218</v>
      </c>
      <c r="D19" s="13" t="s">
        <v>219</v>
      </c>
      <c r="E19" s="13" t="s">
        <v>161</v>
      </c>
      <c r="F19" s="13" t="s">
        <v>178</v>
      </c>
      <c r="G19" s="13" t="s">
        <v>192</v>
      </c>
      <c r="H19" s="13" t="s">
        <v>153</v>
      </c>
      <c r="I19" s="14">
        <v>44266</v>
      </c>
      <c r="J19" s="13" t="s">
        <v>141</v>
      </c>
      <c r="K19" s="13">
        <v>39000</v>
      </c>
      <c r="L19" s="13">
        <v>7800</v>
      </c>
      <c r="M19" s="13">
        <v>9.5</v>
      </c>
      <c r="N19" s="13">
        <v>230</v>
      </c>
      <c r="O19" s="13">
        <v>2.2000000000000002</v>
      </c>
      <c r="P19" s="13">
        <v>4.0999999999999996</v>
      </c>
      <c r="Q19" s="15">
        <v>45689</v>
      </c>
      <c r="R19" s="13" t="str">
        <f t="shared" si="0"/>
        <v>Meera Naidu Reddy</v>
      </c>
    </row>
    <row r="20" spans="1:18" x14ac:dyDescent="0.3">
      <c r="A20" s="13">
        <v>19</v>
      </c>
      <c r="B20" s="13" t="s">
        <v>220</v>
      </c>
      <c r="C20" s="13" t="s">
        <v>221</v>
      </c>
      <c r="D20" s="13"/>
      <c r="E20" s="13" t="s">
        <v>158</v>
      </c>
      <c r="F20" s="13" t="s">
        <v>226</v>
      </c>
      <c r="G20" s="13" t="s">
        <v>197</v>
      </c>
      <c r="H20" s="13" t="s">
        <v>140</v>
      </c>
      <c r="I20" s="14">
        <v>43429</v>
      </c>
      <c r="J20" s="13" t="s">
        <v>154</v>
      </c>
      <c r="K20" s="13">
        <v>60000</v>
      </c>
      <c r="L20" s="13">
        <v>12000</v>
      </c>
      <c r="M20" s="13">
        <v>4</v>
      </c>
      <c r="N20" s="13">
        <v>290</v>
      </c>
      <c r="O20" s="13">
        <v>8.9</v>
      </c>
      <c r="P20" s="13">
        <v>4.5</v>
      </c>
      <c r="Q20" s="15">
        <v>45689</v>
      </c>
      <c r="R20" s="13" t="str">
        <f t="shared" si="0"/>
        <v>Sanjay Patel</v>
      </c>
    </row>
    <row r="21" spans="1:18" x14ac:dyDescent="0.3">
      <c r="A21" s="13">
        <v>20</v>
      </c>
      <c r="B21" s="13" t="s">
        <v>222</v>
      </c>
      <c r="C21" s="13" t="s">
        <v>223</v>
      </c>
      <c r="D21" s="13" t="s">
        <v>224</v>
      </c>
      <c r="E21" s="13" t="s">
        <v>166</v>
      </c>
      <c r="F21" s="13" t="s">
        <v>145</v>
      </c>
      <c r="G21" s="13" t="s">
        <v>146</v>
      </c>
      <c r="H21" s="13" t="s">
        <v>174</v>
      </c>
      <c r="I21" s="14">
        <v>44758</v>
      </c>
      <c r="J21" s="13" t="s">
        <v>141</v>
      </c>
      <c r="K21" s="13">
        <v>37000</v>
      </c>
      <c r="L21" s="13"/>
      <c r="M21" s="13">
        <v>1.8</v>
      </c>
      <c r="N21" s="13">
        <v>200</v>
      </c>
      <c r="O21" s="13">
        <v>5.7</v>
      </c>
      <c r="P21" s="13">
        <v>3.6</v>
      </c>
      <c r="Q21" s="15">
        <v>45717</v>
      </c>
      <c r="R21" s="13" t="str">
        <f t="shared" si="0"/>
        <v>Divya Rani Sharma</v>
      </c>
    </row>
    <row r="22" spans="1:18" x14ac:dyDescent="0.3">
      <c r="A22" s="16" cm="1">
        <f t="array" ref="A22:R22">_xlfn.SEQUENCE(,18,1,1)</f>
        <v>1</v>
      </c>
      <c r="B22" s="16">
        <v>2</v>
      </c>
      <c r="C22" s="16">
        <v>3</v>
      </c>
      <c r="D22" s="16">
        <v>4</v>
      </c>
      <c r="E22" s="16">
        <v>5</v>
      </c>
      <c r="F22" s="16">
        <v>6</v>
      </c>
      <c r="G22" s="16">
        <v>7</v>
      </c>
      <c r="H22" s="16">
        <v>8</v>
      </c>
      <c r="I22" s="16">
        <v>9</v>
      </c>
      <c r="J22" s="16">
        <v>10</v>
      </c>
      <c r="K22" s="16">
        <v>11</v>
      </c>
      <c r="L22" s="16">
        <v>12</v>
      </c>
      <c r="M22" s="16">
        <v>13</v>
      </c>
      <c r="N22" s="16">
        <v>14</v>
      </c>
      <c r="O22" s="16">
        <v>15</v>
      </c>
      <c r="P22" s="16">
        <v>16</v>
      </c>
      <c r="Q22" s="16">
        <v>17</v>
      </c>
      <c r="R22" s="16">
        <v>18</v>
      </c>
    </row>
    <row r="25" spans="1:18" x14ac:dyDescent="0.3">
      <c r="B25" s="11" t="s">
        <v>118</v>
      </c>
      <c r="C25" s="11" t="s">
        <v>3</v>
      </c>
      <c r="D25" s="11" t="s">
        <v>119</v>
      </c>
      <c r="E25" s="11" t="s">
        <v>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E2E9A-1700-1D40-A954-B025FB6A2738}">
  <sheetPr codeName="Sheet4">
    <pageSetUpPr fitToPage="1"/>
  </sheetPr>
  <dimension ref="B3:L21"/>
  <sheetViews>
    <sheetView showGridLines="0" zoomScale="89" workbookViewId="0">
      <selection activeCell="L5" sqref="L5"/>
    </sheetView>
  </sheetViews>
  <sheetFormatPr defaultColWidth="11.19921875" defaultRowHeight="15.6" x14ac:dyDescent="0.3"/>
  <cols>
    <col min="2" max="2" width="17.5" customWidth="1"/>
    <col min="3" max="3" width="20" customWidth="1"/>
    <col min="4" max="4" width="22" customWidth="1"/>
    <col min="6" max="6" width="23.19921875" customWidth="1"/>
    <col min="7" max="7" width="21.796875" customWidth="1"/>
  </cols>
  <sheetData>
    <row r="3" spans="2:12" ht="36.6" x14ac:dyDescent="0.7">
      <c r="D3" s="6" t="s">
        <v>76</v>
      </c>
    </row>
    <row r="4" spans="2:12" ht="36.6" x14ac:dyDescent="0.7">
      <c r="D4" s="6"/>
    </row>
    <row r="5" spans="2:12" ht="28.95" customHeight="1" x14ac:dyDescent="0.4">
      <c r="B5" s="7"/>
      <c r="C5" s="7"/>
      <c r="D5" s="7"/>
      <c r="E5" s="7"/>
      <c r="F5" s="7"/>
      <c r="G5" s="7"/>
      <c r="L5" s="10">
        <v>10</v>
      </c>
    </row>
    <row r="6" spans="2:12" ht="21" x14ac:dyDescent="0.4">
      <c r="B6" s="8" t="s">
        <v>68</v>
      </c>
      <c r="D6" s="5"/>
      <c r="E6" s="5"/>
    </row>
    <row r="7" spans="2:12" ht="21" x14ac:dyDescent="0.4">
      <c r="C7" s="5" t="s">
        <v>2</v>
      </c>
      <c r="D7" s="5" t="str">
        <f>VLOOKUP($L$5,emp_data,18,TRUE)</f>
        <v>Vikram Singh Rao</v>
      </c>
      <c r="E7" s="5"/>
      <c r="F7" s="5" t="s">
        <v>75</v>
      </c>
      <c r="G7" s="9">
        <f>VLOOKUP($L$5,emp_data,9,TRUE)</f>
        <v>44975</v>
      </c>
    </row>
    <row r="8" spans="2:12" ht="21" x14ac:dyDescent="0.4">
      <c r="C8" s="5" t="s">
        <v>69</v>
      </c>
      <c r="D8" s="5" t="str">
        <f>VLOOKUP($L$5,emp_data,2,TRUE)</f>
        <v>EMP010</v>
      </c>
      <c r="E8" s="5"/>
      <c r="F8" s="5" t="s">
        <v>1</v>
      </c>
      <c r="G8" s="5" t="str">
        <f>VLOOKUP($L$5,emp_data,6,TRUE)</f>
        <v>Marketing</v>
      </c>
    </row>
    <row r="9" spans="2:12" ht="21" x14ac:dyDescent="0.4">
      <c r="C9" s="5"/>
      <c r="D9" s="5"/>
      <c r="E9" s="5"/>
      <c r="F9" s="5"/>
    </row>
    <row r="10" spans="2:12" ht="21" x14ac:dyDescent="0.4">
      <c r="B10" s="7"/>
      <c r="C10" s="7"/>
      <c r="D10" s="7"/>
      <c r="E10" s="7"/>
      <c r="F10" s="7"/>
      <c r="G10" s="7"/>
    </row>
    <row r="11" spans="2:12" s="8" customFormat="1" ht="21" x14ac:dyDescent="0.4">
      <c r="B11" s="8" t="s">
        <v>78</v>
      </c>
    </row>
    <row r="12" spans="2:12" ht="21" x14ac:dyDescent="0.4">
      <c r="C12" s="5" t="s">
        <v>70</v>
      </c>
      <c r="D12" s="5">
        <f>VLOOKUP($L$5,emp_data,11,TRUE)</f>
        <v>58000</v>
      </c>
      <c r="E12" s="5"/>
    </row>
    <row r="13" spans="2:12" ht="21" x14ac:dyDescent="0.4">
      <c r="C13" s="5" t="s">
        <v>71</v>
      </c>
      <c r="D13" s="5">
        <f>VLOOKUP($L$5,emp_data,12,TRUE)</f>
        <v>11600</v>
      </c>
      <c r="E13" s="5"/>
    </row>
    <row r="14" spans="2:12" ht="21" x14ac:dyDescent="0.4">
      <c r="B14" s="8" t="s">
        <v>72</v>
      </c>
      <c r="D14" s="5"/>
      <c r="E14" s="5"/>
    </row>
    <row r="15" spans="2:12" ht="21" x14ac:dyDescent="0.4">
      <c r="C15" s="5" t="s">
        <v>81</v>
      </c>
      <c r="D15" s="5">
        <f>VLOOKUP($L$5,emp_data,13,TRUE)</f>
        <v>10.5</v>
      </c>
      <c r="E15" s="5"/>
      <c r="F15" s="5" t="s">
        <v>4</v>
      </c>
      <c r="G15">
        <f>D12+D13+D17</f>
        <v>72540</v>
      </c>
    </row>
    <row r="16" spans="2:12" ht="21.6" thickBot="1" x14ac:dyDescent="0.45">
      <c r="C16" s="5" t="s">
        <v>82</v>
      </c>
      <c r="D16" s="5">
        <f>VLOOKUP($L$5,emp_data,14,TRUE)</f>
        <v>280</v>
      </c>
      <c r="E16" s="5"/>
      <c r="F16" s="5" t="s">
        <v>73</v>
      </c>
      <c r="G16">
        <f>IF(G15&gt;60000,0.2*SalarySlip!G15,0)</f>
        <v>14508</v>
      </c>
    </row>
    <row r="17" spans="2:7" ht="21.6" thickBot="1" x14ac:dyDescent="0.45">
      <c r="C17" s="5" t="s">
        <v>83</v>
      </c>
      <c r="D17" s="5">
        <f>D15*D16</f>
        <v>2940</v>
      </c>
      <c r="E17" s="5"/>
      <c r="F17" s="5" t="s">
        <v>74</v>
      </c>
      <c r="G17" s="1">
        <f>G15-G16</f>
        <v>58032</v>
      </c>
    </row>
    <row r="19" spans="2:7" ht="21" x14ac:dyDescent="0.4">
      <c r="B19" s="7"/>
      <c r="C19" s="7"/>
      <c r="D19" s="7"/>
      <c r="E19" s="7"/>
      <c r="F19" s="7"/>
      <c r="G19" s="7"/>
    </row>
    <row r="21" spans="2:7" x14ac:dyDescent="0.3">
      <c r="C21" t="s">
        <v>77</v>
      </c>
    </row>
  </sheetData>
  <printOptions horizontalCentered="1"/>
  <pageMargins left="0.7" right="0.7" top="0.75" bottom="0.75" header="0.3" footer="0.3"/>
  <pageSetup paperSize="9"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Contents</vt:lpstr>
      <vt:lpstr>RawData</vt:lpstr>
      <vt:lpstr>RawData_Cleaning</vt:lpstr>
      <vt:lpstr>SalarySlip</vt:lpstr>
      <vt:lpstr>emp_data</vt:lpstr>
      <vt:lpstr>SalarySlip!Print_Area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 Saurav</dc:creator>
  <cp:lastModifiedBy>Muskaan Gupta</cp:lastModifiedBy>
  <cp:lastPrinted>2026-10-15T15:17:53Z</cp:lastPrinted>
  <dcterms:created xsi:type="dcterms:W3CDTF">2025-07-05T14:19:48Z</dcterms:created>
  <dcterms:modified xsi:type="dcterms:W3CDTF">2026-10-15T17:05:37Z</dcterms:modified>
</cp:coreProperties>
</file>